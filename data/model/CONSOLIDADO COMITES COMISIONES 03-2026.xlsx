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ti\OneDrive\Escritorio\Chamba\Dashboard\data\model\"/>
    </mc:Choice>
  </mc:AlternateContent>
  <xr:revisionPtr revIDLastSave="0" documentId="13_ncr:1_{AFB5FA4D-A45C-4EFB-B1AA-38485898B8E5}" xr6:coauthVersionLast="47" xr6:coauthVersionMax="47" xr10:uidLastSave="{00000000-0000-0000-0000-000000000000}"/>
  <bookViews>
    <workbookView xWindow="-108" yWindow="-108" windowWidth="23256" windowHeight="12456" tabRatio="801" activeTab="1" xr2:uid="{00000000-000D-0000-FFFF-FFFF00000000}"/>
  </bookViews>
  <sheets>
    <sheet name="RESUMEN" sheetId="22" r:id="rId1"/>
    <sheet name="Coordinadores" sheetId="44" r:id="rId2"/>
    <sheet name="C1" sheetId="23" r:id="rId3"/>
    <sheet name="C2" sheetId="24" r:id="rId4"/>
    <sheet name="C3" sheetId="25" r:id="rId5"/>
    <sheet name="C4" sheetId="26" r:id="rId6"/>
    <sheet name="C5" sheetId="27" r:id="rId7"/>
    <sheet name="C6" sheetId="28" r:id="rId8"/>
    <sheet name="C7" sheetId="29" r:id="rId9"/>
    <sheet name="C8" sheetId="30" r:id="rId10"/>
    <sheet name="C9" sheetId="31" r:id="rId11"/>
    <sheet name="C10" sheetId="32" r:id="rId12"/>
    <sheet name="C11" sheetId="33" r:id="rId13"/>
    <sheet name="C12" sheetId="34" r:id="rId14"/>
    <sheet name="C13" sheetId="36" r:id="rId15"/>
    <sheet name="C14" sheetId="35" r:id="rId16"/>
    <sheet name="C15" sheetId="37" r:id="rId17"/>
    <sheet name="C16" sheetId="38" r:id="rId18"/>
    <sheet name="C50" sheetId="39" r:id="rId19"/>
    <sheet name="C60" sheetId="40" r:id="rId20"/>
    <sheet name="C70" sheetId="41" r:id="rId21"/>
    <sheet name="C80" sheetId="42" r:id="rId22"/>
    <sheet name="C90" sheetId="43" r:id="rId23"/>
    <sheet name="COMUNA 2" sheetId="3" state="hidden" r:id="rId24"/>
    <sheet name="COMUNA 3" sheetId="4" state="hidden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" i="44" l="1"/>
  <c r="J107" i="44"/>
  <c r="J106" i="44"/>
  <c r="J46" i="44"/>
  <c r="J3" i="44"/>
  <c r="H240" i="30" a="1"/>
  <c r="H240" i="30" s="1"/>
  <c r="D12" i="22"/>
  <c r="M22" i="43"/>
  <c r="M23" i="43"/>
  <c r="M24" i="43"/>
  <c r="M25" i="43"/>
  <c r="M26" i="43"/>
  <c r="E23" i="22" a="1"/>
  <c r="E23" i="22" s="1"/>
  <c r="E22" i="22" a="1"/>
  <c r="E22" i="22" s="1"/>
  <c r="E21" i="22" a="1"/>
  <c r="E21" i="22" s="1"/>
  <c r="E20" i="22" a="1"/>
  <c r="E20" i="22" s="1"/>
  <c r="E19" i="22" a="1"/>
  <c r="E19" i="22" s="1"/>
  <c r="E18" i="22" a="1"/>
  <c r="E18" i="22" s="1"/>
  <c r="E17" i="22" a="1"/>
  <c r="E17" i="22" s="1"/>
  <c r="E16" i="22" a="1"/>
  <c r="E16" i="22" s="1"/>
  <c r="E15" i="22" a="1"/>
  <c r="E15" i="22" s="1"/>
  <c r="E14" i="22" a="1"/>
  <c r="E14" i="22" s="1"/>
  <c r="E13" i="22" a="1"/>
  <c r="E13" i="22" s="1"/>
  <c r="E12" i="22" a="1"/>
  <c r="E12" i="22" s="1"/>
  <c r="E11" i="22" a="1"/>
  <c r="E11" i="22" s="1"/>
  <c r="E8" i="22" a="1"/>
  <c r="E8" i="22" s="1"/>
  <c r="E7" i="22" a="1"/>
  <c r="E7" i="22" s="1"/>
  <c r="E6" i="22" a="1"/>
  <c r="E6" i="22" s="1"/>
  <c r="E5" i="22" a="1"/>
  <c r="E5" i="22" s="1"/>
  <c r="E4" i="22" a="1"/>
  <c r="E4" i="22" s="1"/>
  <c r="E3" i="22" a="1"/>
  <c r="E3" i="22" s="1"/>
  <c r="M57" i="43"/>
  <c r="M86" i="24"/>
  <c r="M75" i="24"/>
  <c r="M76" i="24"/>
  <c r="M77" i="24"/>
  <c r="M78" i="24"/>
  <c r="M79" i="24"/>
  <c r="M80" i="24"/>
  <c r="M81" i="24"/>
  <c r="M82" i="24"/>
  <c r="M83" i="24"/>
  <c r="M84" i="24"/>
  <c r="M85" i="24"/>
  <c r="G23" i="22" a="1"/>
  <c r="G23" i="22" s="1"/>
  <c r="G22" i="22" a="1"/>
  <c r="G22" i="22" s="1"/>
  <c r="G21" i="22" a="1"/>
  <c r="G21" i="22" s="1"/>
  <c r="G20" i="22" a="1"/>
  <c r="G20" i="22" s="1"/>
  <c r="G19" i="22" a="1"/>
  <c r="G19" i="22" s="1"/>
  <c r="G17" i="22" a="1"/>
  <c r="G17" i="22" s="1"/>
  <c r="G18" i="22" a="1"/>
  <c r="G18" i="22" s="1"/>
  <c r="G16" i="22" a="1"/>
  <c r="G16" i="22" s="1"/>
  <c r="G15" i="22" a="1"/>
  <c r="G15" i="22" s="1"/>
  <c r="G14" i="22" a="1"/>
  <c r="G14" i="22" s="1"/>
  <c r="G13" i="22" a="1"/>
  <c r="G13" i="22" s="1"/>
  <c r="G12" i="22" a="1"/>
  <c r="G12" i="22" s="1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D9" i="22"/>
  <c r="D23" i="22"/>
  <c r="D22" i="22"/>
  <c r="D21" i="22"/>
  <c r="D20" i="22"/>
  <c r="D19" i="22"/>
  <c r="D18" i="22"/>
  <c r="D17" i="22"/>
  <c r="D16" i="22"/>
  <c r="D15" i="22"/>
  <c r="D14" i="22"/>
  <c r="D13" i="22"/>
  <c r="D11" i="22"/>
  <c r="D10" i="22"/>
  <c r="G11" i="22" a="1"/>
  <c r="G11" i="22" s="1"/>
  <c r="G8" i="22" a="1"/>
  <c r="G8" i="22" s="1"/>
  <c r="F8" i="22"/>
  <c r="D8" i="22"/>
  <c r="G7" i="22" a="1"/>
  <c r="G7" i="22" s="1"/>
  <c r="F7" i="22"/>
  <c r="D7" i="22"/>
  <c r="D6" i="22"/>
  <c r="F6" i="22"/>
  <c r="F5" i="22"/>
  <c r="G6" i="22" a="1"/>
  <c r="G6" i="22" s="1"/>
  <c r="G5" i="22" a="1"/>
  <c r="G5" i="22" s="1"/>
  <c r="D5" i="22"/>
  <c r="G4" i="22" a="1"/>
  <c r="G4" i="22" s="1"/>
  <c r="D4" i="22"/>
  <c r="D3" i="22"/>
  <c r="G3" i="22" a="1"/>
  <c r="G3" i="22" s="1"/>
  <c r="F4" i="22"/>
  <c r="F3" i="22"/>
  <c r="M211" i="30"/>
  <c r="M212" i="30"/>
  <c r="M213" i="30"/>
  <c r="M214" i="30"/>
  <c r="M215" i="30"/>
  <c r="M216" i="30"/>
  <c r="M217" i="30"/>
  <c r="M218" i="30"/>
  <c r="M219" i="30"/>
  <c r="M220" i="30"/>
  <c r="M221" i="30"/>
  <c r="M223" i="30"/>
  <c r="M224" i="30"/>
  <c r="M225" i="30"/>
  <c r="M227" i="30"/>
  <c r="M228" i="30"/>
  <c r="M229" i="30"/>
  <c r="M230" i="30"/>
  <c r="M231" i="30"/>
  <c r="M232" i="30"/>
  <c r="M233" i="30"/>
  <c r="M210" i="30"/>
  <c r="M5" i="25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9" i="25"/>
  <c r="M60" i="25"/>
  <c r="M61" i="25"/>
  <c r="M62" i="25"/>
  <c r="M64" i="25"/>
  <c r="M65" i="25"/>
  <c r="M66" i="25"/>
  <c r="M67" i="25"/>
  <c r="M68" i="25"/>
  <c r="M69" i="25"/>
  <c r="M70" i="25"/>
  <c r="M71" i="25"/>
  <c r="M72" i="25"/>
  <c r="M73" i="25"/>
  <c r="M74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89" i="25"/>
  <c r="M90" i="25"/>
  <c r="M91" i="25"/>
  <c r="M92" i="25"/>
  <c r="M93" i="25"/>
  <c r="M94" i="25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8" i="43"/>
  <c r="M59" i="43"/>
  <c r="M60" i="43"/>
  <c r="M61" i="43"/>
  <c r="M62" i="43"/>
  <c r="M63" i="43"/>
  <c r="M64" i="43"/>
  <c r="M65" i="43"/>
  <c r="M66" i="43"/>
  <c r="M67" i="43"/>
  <c r="M68" i="43"/>
  <c r="M16" i="42"/>
  <c r="M17" i="42"/>
  <c r="M18" i="42"/>
  <c r="M19" i="42"/>
  <c r="M20" i="42"/>
  <c r="M21" i="42"/>
  <c r="M22" i="42"/>
  <c r="M23" i="42"/>
  <c r="M24" i="42"/>
  <c r="M25" i="42"/>
  <c r="M28" i="42"/>
  <c r="M29" i="42"/>
  <c r="M30" i="42"/>
  <c r="M31" i="42"/>
  <c r="M32" i="42"/>
  <c r="M33" i="42"/>
  <c r="M34" i="42"/>
  <c r="M35" i="42"/>
  <c r="M36" i="42"/>
  <c r="M37" i="42"/>
  <c r="M38" i="42"/>
  <c r="M39" i="42"/>
  <c r="M40" i="42"/>
  <c r="M41" i="42"/>
  <c r="M42" i="42"/>
  <c r="M43" i="42"/>
  <c r="M44" i="42"/>
  <c r="M45" i="42"/>
  <c r="M46" i="42"/>
  <c r="M47" i="42"/>
  <c r="M48" i="42"/>
  <c r="M49" i="42"/>
  <c r="M50" i="42"/>
  <c r="M51" i="42"/>
  <c r="M52" i="42"/>
  <c r="M53" i="42"/>
  <c r="M54" i="42"/>
  <c r="M55" i="42"/>
  <c r="M56" i="42"/>
  <c r="M57" i="42"/>
  <c r="M59" i="42"/>
  <c r="M60" i="42"/>
  <c r="M61" i="42"/>
  <c r="M62" i="42"/>
  <c r="M63" i="42"/>
  <c r="M64" i="42"/>
  <c r="M65" i="42"/>
  <c r="M66" i="42"/>
  <c r="M67" i="42"/>
  <c r="M68" i="42"/>
  <c r="M69" i="42"/>
  <c r="M70" i="42"/>
  <c r="M71" i="42"/>
  <c r="M72" i="42"/>
  <c r="M73" i="42"/>
  <c r="M74" i="42"/>
  <c r="M75" i="42"/>
  <c r="M76" i="42"/>
  <c r="M77" i="42"/>
  <c r="M78" i="42"/>
  <c r="M79" i="42"/>
  <c r="M80" i="42"/>
  <c r="M81" i="42"/>
  <c r="M82" i="42"/>
  <c r="M83" i="42"/>
  <c r="M84" i="42"/>
  <c r="M88" i="42"/>
  <c r="M89" i="42"/>
  <c r="M90" i="42"/>
  <c r="M91" i="42"/>
  <c r="M92" i="42"/>
  <c r="M93" i="42"/>
  <c r="M94" i="42"/>
  <c r="M95" i="42"/>
  <c r="M5" i="42"/>
  <c r="M6" i="42"/>
  <c r="M7" i="42"/>
  <c r="M8" i="42"/>
  <c r="M9" i="42"/>
  <c r="M10" i="42"/>
  <c r="M11" i="42"/>
  <c r="M12" i="42"/>
  <c r="M13" i="42"/>
  <c r="M14" i="42"/>
  <c r="M15" i="42"/>
  <c r="M13" i="41"/>
  <c r="M14" i="41"/>
  <c r="M15" i="41"/>
  <c r="M16" i="41"/>
  <c r="M17" i="41"/>
  <c r="M18" i="41"/>
  <c r="M19" i="41"/>
  <c r="M20" i="41"/>
  <c r="M21" i="41"/>
  <c r="M22" i="41"/>
  <c r="M23" i="41"/>
  <c r="M24" i="41"/>
  <c r="M25" i="41"/>
  <c r="M5" i="41"/>
  <c r="M6" i="41"/>
  <c r="M7" i="41"/>
  <c r="M8" i="41"/>
  <c r="M9" i="41"/>
  <c r="M10" i="41"/>
  <c r="M11" i="41"/>
  <c r="M12" i="41"/>
  <c r="M5" i="40"/>
  <c r="M6" i="40"/>
  <c r="M7" i="40"/>
  <c r="M8" i="40"/>
  <c r="M5" i="38"/>
  <c r="M7" i="38"/>
  <c r="M8" i="38"/>
  <c r="M17" i="36"/>
  <c r="M18" i="36"/>
  <c r="M5" i="36"/>
  <c r="M6" i="36"/>
  <c r="M7" i="36"/>
  <c r="M8" i="36"/>
  <c r="M9" i="36"/>
  <c r="M10" i="36"/>
  <c r="M11" i="36"/>
  <c r="M12" i="36"/>
  <c r="M13" i="36"/>
  <c r="M14" i="36"/>
  <c r="M15" i="36"/>
  <c r="M16" i="36"/>
  <c r="M5" i="34"/>
  <c r="M6" i="34"/>
  <c r="M7" i="34"/>
  <c r="M8" i="34"/>
  <c r="M9" i="34"/>
  <c r="M10" i="34"/>
  <c r="M11" i="34"/>
  <c r="I184" i="30"/>
  <c r="I183" i="30"/>
  <c r="I179" i="30"/>
  <c r="I182" i="30"/>
  <c r="I181" i="30"/>
  <c r="I180" i="30"/>
  <c r="I178" i="30"/>
  <c r="I177" i="30"/>
  <c r="I173" i="30"/>
  <c r="I176" i="30"/>
  <c r="I175" i="30"/>
  <c r="I174" i="30"/>
  <c r="I172" i="30"/>
  <c r="I171" i="30"/>
  <c r="I167" i="30"/>
  <c r="I170" i="30"/>
  <c r="I169" i="30"/>
  <c r="I168" i="30"/>
  <c r="I166" i="30"/>
  <c r="I165" i="30"/>
  <c r="I164" i="30"/>
  <c r="I161" i="30"/>
  <c r="I163" i="30"/>
  <c r="I162" i="30"/>
  <c r="I160" i="30"/>
  <c r="I159" i="30"/>
  <c r="I158" i="30"/>
  <c r="I157" i="30"/>
  <c r="I156" i="30"/>
  <c r="I155" i="30"/>
  <c r="I154" i="30"/>
  <c r="I153" i="30"/>
  <c r="I152" i="30"/>
  <c r="I151" i="30"/>
  <c r="I150" i="30"/>
  <c r="I149" i="30"/>
  <c r="I148" i="30"/>
  <c r="I147" i="30"/>
  <c r="I146" i="30"/>
  <c r="I145" i="30"/>
  <c r="I142" i="30"/>
  <c r="I144" i="30"/>
  <c r="I143" i="30"/>
  <c r="I136" i="30"/>
  <c r="I141" i="30"/>
  <c r="I140" i="30"/>
  <c r="I139" i="30"/>
  <c r="I138" i="30"/>
  <c r="I137" i="30"/>
  <c r="I124" i="30"/>
  <c r="I123" i="30"/>
  <c r="I122" i="30"/>
  <c r="I121" i="30"/>
  <c r="I119" i="30"/>
  <c r="I120" i="30"/>
  <c r="I118" i="30"/>
  <c r="I113" i="30"/>
  <c r="I117" i="30"/>
  <c r="I116" i="30"/>
  <c r="I115" i="30"/>
  <c r="I114" i="30"/>
  <c r="I112" i="30"/>
  <c r="I111" i="30"/>
  <c r="I110" i="30"/>
  <c r="I109" i="30"/>
  <c r="I108" i="30"/>
  <c r="I107" i="30"/>
  <c r="I106" i="30"/>
  <c r="I105" i="30"/>
  <c r="I104" i="30"/>
  <c r="I103" i="30"/>
  <c r="I101" i="30"/>
  <c r="I102" i="30"/>
  <c r="I100" i="30"/>
  <c r="I99" i="30"/>
  <c r="I98" i="30"/>
  <c r="I95" i="30"/>
  <c r="I97" i="30"/>
  <c r="I96" i="30"/>
  <c r="I94" i="30"/>
  <c r="I93" i="30"/>
  <c r="I92" i="30"/>
  <c r="I89" i="30"/>
  <c r="I91" i="30"/>
  <c r="I90" i="30"/>
  <c r="I88" i="30"/>
  <c r="I87" i="30"/>
  <c r="I86" i="30"/>
  <c r="I85" i="30"/>
  <c r="I83" i="30"/>
  <c r="I84" i="30"/>
  <c r="I82" i="30"/>
  <c r="I81" i="30"/>
  <c r="I80" i="30"/>
  <c r="I77" i="30"/>
  <c r="I79" i="30"/>
  <c r="I78" i="30"/>
  <c r="I76" i="30"/>
  <c r="I75" i="30"/>
  <c r="I74" i="30"/>
  <c r="I73" i="30"/>
  <c r="I72" i="30"/>
  <c r="I71" i="30"/>
  <c r="I70" i="30"/>
  <c r="I69" i="30"/>
  <c r="I65" i="30"/>
  <c r="I68" i="30"/>
  <c r="I67" i="30"/>
  <c r="I66" i="30"/>
  <c r="I64" i="30"/>
  <c r="I63" i="30"/>
  <c r="I62" i="30"/>
  <c r="I59" i="30"/>
  <c r="I61" i="30"/>
  <c r="I60" i="30"/>
  <c r="I57" i="30"/>
  <c r="I58" i="30"/>
  <c r="I56" i="30"/>
  <c r="I55" i="30"/>
  <c r="I54" i="30"/>
  <c r="I53" i="30"/>
  <c r="I52" i="30"/>
  <c r="I51" i="30"/>
  <c r="I50" i="30"/>
  <c r="I49" i="30"/>
  <c r="I48" i="30"/>
  <c r="I46" i="30"/>
  <c r="I47" i="30"/>
  <c r="I45" i="30"/>
  <c r="I44" i="30"/>
  <c r="I43" i="30"/>
  <c r="I42" i="30"/>
  <c r="I40" i="30"/>
  <c r="I41" i="30"/>
  <c r="I34" i="30"/>
  <c r="I109" i="29"/>
  <c r="I108" i="29"/>
  <c r="I107" i="29"/>
  <c r="I106" i="29"/>
  <c r="I62" i="29"/>
  <c r="I61" i="29"/>
  <c r="I60" i="29"/>
  <c r="I59" i="29"/>
  <c r="I58" i="29"/>
  <c r="I39" i="30"/>
  <c r="I38" i="30"/>
  <c r="I37" i="30"/>
  <c r="I36" i="30"/>
  <c r="I35" i="30"/>
  <c r="M24" i="30"/>
  <c r="M25" i="30"/>
  <c r="M26" i="30"/>
  <c r="M27" i="30"/>
  <c r="M28" i="30"/>
  <c r="M29" i="30"/>
  <c r="M30" i="30"/>
  <c r="M31" i="30"/>
  <c r="M32" i="30"/>
  <c r="M33" i="30"/>
  <c r="M19" i="30"/>
  <c r="M20" i="30"/>
  <c r="M21" i="30"/>
  <c r="M22" i="30"/>
  <c r="M23" i="30"/>
  <c r="M13" i="30"/>
  <c r="M12" i="30"/>
  <c r="M14" i="30"/>
  <c r="M15" i="30"/>
  <c r="M16" i="30"/>
  <c r="M17" i="30"/>
  <c r="M18" i="30"/>
  <c r="M5" i="30"/>
  <c r="M6" i="30"/>
  <c r="M7" i="30"/>
  <c r="M3" i="30"/>
  <c r="M5" i="32"/>
  <c r="M6" i="32"/>
  <c r="M7" i="32"/>
  <c r="M8" i="32"/>
  <c r="M9" i="32"/>
  <c r="M10" i="32"/>
  <c r="M5" i="31"/>
  <c r="M6" i="31"/>
  <c r="M8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3" i="31"/>
  <c r="M24" i="31"/>
  <c r="M4" i="29"/>
  <c r="M5" i="29"/>
  <c r="M6" i="29"/>
  <c r="M7" i="29"/>
  <c r="M8" i="29"/>
  <c r="M9" i="29"/>
  <c r="M10" i="29"/>
  <c r="M11" i="29"/>
  <c r="M12" i="29"/>
  <c r="M29" i="29"/>
  <c r="M30" i="29"/>
  <c r="M31" i="29"/>
  <c r="M32" i="29"/>
  <c r="M33" i="29"/>
  <c r="M34" i="29"/>
  <c r="M39" i="29"/>
  <c r="M40" i="29"/>
  <c r="M41" i="29"/>
  <c r="M42" i="29"/>
  <c r="M43" i="29"/>
  <c r="M44" i="29"/>
  <c r="M4" i="28"/>
  <c r="M5" i="28"/>
  <c r="M6" i="28"/>
  <c r="M7" i="28"/>
  <c r="M8" i="28"/>
  <c r="M9" i="28"/>
  <c r="M10" i="28"/>
  <c r="M11" i="28"/>
  <c r="M12" i="28"/>
  <c r="M13" i="28"/>
  <c r="M14" i="28"/>
  <c r="M5" i="27"/>
  <c r="M6" i="27"/>
  <c r="M7" i="27"/>
  <c r="M8" i="27"/>
  <c r="M9" i="27"/>
  <c r="M11" i="27"/>
  <c r="M113" i="26"/>
  <c r="M114" i="26"/>
  <c r="M115" i="26"/>
  <c r="M116" i="26"/>
  <c r="M86" i="26"/>
  <c r="M87" i="26"/>
  <c r="M88" i="26"/>
  <c r="M89" i="26"/>
  <c r="M90" i="26"/>
  <c r="M91" i="26"/>
  <c r="M92" i="26"/>
  <c r="M93" i="26"/>
  <c r="M83" i="26"/>
  <c r="M85" i="26"/>
  <c r="M62" i="26"/>
  <c r="M63" i="26"/>
  <c r="M64" i="26"/>
  <c r="M65" i="26"/>
  <c r="M66" i="26"/>
  <c r="M67" i="26"/>
  <c r="M68" i="26"/>
  <c r="M69" i="26"/>
  <c r="M72" i="26"/>
  <c r="M73" i="26"/>
  <c r="M74" i="26"/>
  <c r="M75" i="26"/>
  <c r="M60" i="26"/>
  <c r="M61" i="26"/>
  <c r="M49" i="26"/>
  <c r="M50" i="26"/>
  <c r="M51" i="26"/>
  <c r="M52" i="26"/>
  <c r="M53" i="26"/>
  <c r="M54" i="26"/>
  <c r="M32" i="26"/>
  <c r="M38" i="26"/>
  <c r="M39" i="26"/>
  <c r="M40" i="26"/>
  <c r="M41" i="26"/>
  <c r="M42" i="26"/>
  <c r="M43" i="26"/>
  <c r="M44" i="26"/>
  <c r="M45" i="26"/>
  <c r="M47" i="26"/>
  <c r="M48" i="26"/>
  <c r="M22" i="26"/>
  <c r="M23" i="26"/>
  <c r="M24" i="26"/>
  <c r="M25" i="26"/>
  <c r="M26" i="26"/>
  <c r="M31" i="26"/>
  <c r="M33" i="26"/>
  <c r="M34" i="26"/>
  <c r="M35" i="26"/>
  <c r="M36" i="26"/>
  <c r="M37" i="26"/>
  <c r="M21" i="26"/>
  <c r="M16" i="26"/>
  <c r="M17" i="26"/>
  <c r="M13" i="26"/>
  <c r="M19" i="26"/>
  <c r="M15" i="26"/>
  <c r="M5" i="26"/>
  <c r="M6" i="26"/>
  <c r="M7" i="26"/>
  <c r="M8" i="26"/>
  <c r="M9" i="26"/>
  <c r="M12" i="26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2" i="23"/>
  <c r="M23" i="23"/>
  <c r="M24" i="23"/>
  <c r="M25" i="23"/>
  <c r="M26" i="23"/>
  <c r="M27" i="23"/>
  <c r="M28" i="23"/>
  <c r="M4" i="43"/>
  <c r="M3" i="43"/>
  <c r="M4" i="42"/>
  <c r="M3" i="42"/>
  <c r="M4" i="41"/>
  <c r="M3" i="41"/>
  <c r="M4" i="40"/>
  <c r="M3" i="40"/>
  <c r="M3" i="39"/>
  <c r="M4" i="38"/>
  <c r="M3" i="38"/>
  <c r="M4" i="36"/>
  <c r="M3" i="36"/>
  <c r="M4" i="35"/>
  <c r="M3" i="35"/>
  <c r="M4" i="34"/>
  <c r="M3" i="34"/>
  <c r="M4" i="33"/>
  <c r="M3" i="33"/>
  <c r="M4" i="32"/>
  <c r="M3" i="32"/>
  <c r="M4" i="31"/>
  <c r="M3" i="31"/>
  <c r="M4" i="30"/>
  <c r="M8" i="30"/>
  <c r="M3" i="29"/>
  <c r="E9" i="22" l="1" a="1"/>
  <c r="E9" i="22" s="1"/>
  <c r="E10" i="22" a="1"/>
  <c r="E10" i="22" s="1"/>
  <c r="H19" i="22"/>
  <c r="H15" i="22"/>
  <c r="G10" i="22" a="1"/>
  <c r="G10" i="22" s="1"/>
  <c r="G9" i="22" a="1"/>
  <c r="G9" i="22" s="1"/>
  <c r="I4" i="22"/>
  <c r="H4" i="22"/>
  <c r="D24" i="22"/>
  <c r="F24" i="22"/>
  <c r="I19" i="22"/>
  <c r="M3" i="28"/>
  <c r="M4" i="27"/>
  <c r="M3" i="27"/>
  <c r="M4" i="26"/>
  <c r="M3" i="26"/>
  <c r="M4" i="25"/>
  <c r="M3" i="25"/>
  <c r="I12" i="22"/>
  <c r="I16" i="22"/>
  <c r="I21" i="22"/>
  <c r="I23" i="22"/>
  <c r="I11" i="22"/>
  <c r="I15" i="22"/>
  <c r="I20" i="22"/>
  <c r="M4" i="24"/>
  <c r="M3" i="24"/>
  <c r="M4" i="23"/>
  <c r="M3" i="23"/>
  <c r="I13" i="22"/>
  <c r="I14" i="22"/>
  <c r="I17" i="22"/>
  <c r="I18" i="22"/>
  <c r="I22" i="22"/>
  <c r="H5" i="22"/>
  <c r="H6" i="22"/>
  <c r="H7" i="22"/>
  <c r="H8" i="22"/>
  <c r="H9" i="22"/>
  <c r="H10" i="22"/>
  <c r="H11" i="22"/>
  <c r="H12" i="22"/>
  <c r="H13" i="22"/>
  <c r="H14" i="22"/>
  <c r="H16" i="22"/>
  <c r="H17" i="22"/>
  <c r="H18" i="22"/>
  <c r="H20" i="22"/>
  <c r="H21" i="22"/>
  <c r="H22" i="22"/>
  <c r="H23" i="22"/>
  <c r="H3" i="22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2" i="4"/>
  <c r="I71" i="4"/>
  <c r="I70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N34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19" i="3"/>
  <c r="I18" i="3"/>
  <c r="I17" i="3"/>
  <c r="I16" i="3"/>
  <c r="I15" i="3"/>
  <c r="I14" i="3"/>
  <c r="I9" i="22" l="1"/>
  <c r="I10" i="22"/>
  <c r="I8" i="22"/>
  <c r="I7" i="22"/>
  <c r="I5" i="22"/>
  <c r="I6" i="22"/>
  <c r="I3" i="22"/>
  <c r="H24" i="22"/>
  <c r="I24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4000000}">
      <text>
        <r>
          <rPr>
            <sz val="11"/>
            <color rgb="FF000000"/>
            <rFont val="Calibri"/>
            <family val="2"/>
            <scheme val="minor"/>
          </rPr>
          <t>======
ID#AAABjXx8004
Yuliet Arango Toro    (2025-05-12 16:22:42)
Comisión 
Comité</t>
        </r>
      </text>
    </comment>
    <comment ref="G1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======
ID#AAABjXx800w
Yuliet Arango Toro    (2025-05-12 16:22:42)
Mujer 
Hombre
Intersexual</t>
        </r>
      </text>
    </comment>
    <comment ref="I1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ID#AAABjXx801M
Yuliet Arango Toro    (2025-05-12 16:22:42)
Insertar fórmula para la edad.</t>
        </r>
      </text>
    </comment>
    <comment ref="N1" authorId="0" shapeId="0" xr:uid="{00000000-0006-0000-0200-000005000000}">
      <text>
        <r>
          <rPr>
            <sz val="11"/>
            <color rgb="FF000000"/>
            <rFont val="Calibri"/>
            <family val="2"/>
            <scheme val="minor"/>
          </rPr>
          <t>======
ID#AAABjXx800o
Yuliet Arango Toro    (2025-05-12 16:22:42)
Iletrada(o)
Preescolar
Primero
Segundo
Tercero
Cuarto
Quinto
Sexto
Séptimo
Octavo
Noveno
Decimo
Undécimo
Profesional 
Técnico 
Tecnólogo
Postgrado</t>
        </r>
      </text>
    </comment>
    <comment ref="R1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ID#AAABjXx801A
Yuliet Arango Toro    (2025-05-12 16:22:42)
Año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MLQ4+5U66G37nmeVVDaMy3nzCr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300-000002000000}">
      <text>
        <r>
          <rPr>
            <sz val="11"/>
            <color rgb="FF000000"/>
            <rFont val="Calibri"/>
            <family val="2"/>
            <scheme val="minor"/>
          </rPr>
          <t>======
ID#AAABjXx801E
Yuliet Arango Toro    (2025-05-12 16:22:42)
Comisión 
Comité</t>
        </r>
      </text>
    </comment>
    <comment ref="G1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ID#AAABjXx801I
Yuliet Arango Toro    (2025-05-12 16:22:42)
Mujer 
Hombre
Intersexual</t>
        </r>
      </text>
    </comment>
    <comment ref="I1" authorId="0" shapeId="0" xr:uid="{00000000-0006-0000-0300-000003000000}">
      <text>
        <r>
          <rPr>
            <sz val="11"/>
            <color rgb="FF000000"/>
            <rFont val="Calibri"/>
            <family val="2"/>
            <scheme val="minor"/>
          </rPr>
          <t>======
ID#AAABjXx8008
Yuliet Arango Toro    (2025-05-12 16:22:42)
Insertar fórmula para la edad.</t>
        </r>
      </text>
    </comment>
    <comment ref="N1" authorId="0" shapeId="0" xr:uid="{00000000-0006-0000-0300-000005000000}">
      <text>
        <r>
          <rPr>
            <sz val="11"/>
            <color rgb="FF000000"/>
            <rFont val="Calibri"/>
            <family val="2"/>
            <scheme val="minor"/>
          </rPr>
          <t>======
ID#AAABjXx800s
Yuliet Arango Toro    (2025-05-12 16:22:42)
Iletrada(o)
Preescolar
Primero
Segundo
Tercero
Cuarto
Quinto
Sexto
Séptimo
Octavo
Noveno
Decimo
Undécimo
Profesional 
Técnico 
Tecnólogo
Postgrado</t>
        </r>
      </text>
    </comment>
    <comment ref="R1" authorId="0" shapeId="0" xr:uid="{00000000-0006-0000-0300-000004000000}">
      <text>
        <r>
          <rPr>
            <sz val="11"/>
            <color rgb="FF000000"/>
            <rFont val="Calibri"/>
            <family val="2"/>
            <scheme val="minor"/>
          </rPr>
          <t>======
ID#AAABjXx8000
Yuliet Arango Toro    (2025-05-12 16:22:42)
Año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Ma2g/D/ptSm2gkEJNEs1SrCYqA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<sst xmlns="http://schemas.openxmlformats.org/spreadsheetml/2006/main" count="17015" uniqueCount="2378">
  <si>
    <t>entrega de logistica en los ultimos 3 años.</t>
  </si>
  <si>
    <t xml:space="preserve">Comuna </t>
  </si>
  <si>
    <t xml:space="preserve">Comisión/Comité </t>
  </si>
  <si>
    <t xml:space="preserve">Nombre CCGRD </t>
  </si>
  <si>
    <t>Nombres y Apellidos</t>
  </si>
  <si>
    <t>Cédula</t>
  </si>
  <si>
    <t>Sexo</t>
  </si>
  <si>
    <t>Fecha de Nacimiento</t>
  </si>
  <si>
    <t>Edad</t>
  </si>
  <si>
    <t>Tipo de Sangre</t>
  </si>
  <si>
    <t>Teléfono/ Celular</t>
  </si>
  <si>
    <t>Correo Electrónico</t>
  </si>
  <si>
    <t>Barrio</t>
  </si>
  <si>
    <t>Último Grado Cursado</t>
  </si>
  <si>
    <t>Ocupación</t>
  </si>
  <si>
    <t>Régimen de Salud</t>
  </si>
  <si>
    <t>EPS</t>
  </si>
  <si>
    <t>Año de Ingreso Comité/Comisión</t>
  </si>
  <si>
    <t>Rol en el Comité/Comisión</t>
  </si>
  <si>
    <t xml:space="preserve">Código Uniforme </t>
  </si>
  <si>
    <t>Estado</t>
  </si>
  <si>
    <t>NO</t>
  </si>
  <si>
    <t xml:space="preserve">Comité </t>
  </si>
  <si>
    <t>Santo Domingo 2</t>
  </si>
  <si>
    <t>Angela Maria Ospina</t>
  </si>
  <si>
    <t>Mujer</t>
  </si>
  <si>
    <t>ACTIVO</t>
  </si>
  <si>
    <t>Miguel Angel Isasa lopez</t>
  </si>
  <si>
    <t>Hombre</t>
  </si>
  <si>
    <t>Beatriz Elena Aracila</t>
  </si>
  <si>
    <t>Maria Eugenia Arcila</t>
  </si>
  <si>
    <t>Aslly Carolina Alvarez Moreno</t>
  </si>
  <si>
    <t>Yeison Velez Ochoa</t>
  </si>
  <si>
    <t>Emiliano Alexander Castañeda Sierra</t>
  </si>
  <si>
    <t>Liceth Londoño Torres</t>
  </si>
  <si>
    <t>Andres Leon Vallejo</t>
  </si>
  <si>
    <t>25 años</t>
  </si>
  <si>
    <t>Nancy Yaneth Arcila Agudelo</t>
  </si>
  <si>
    <t>Sulma Patricia Serna Holguin</t>
  </si>
  <si>
    <t xml:space="preserve">Sara Lopez Gonzalez </t>
  </si>
  <si>
    <t>Saray Aguirre Carvajal</t>
  </si>
  <si>
    <t xml:space="preserve">Juan Pablo Posada Villegas </t>
  </si>
  <si>
    <t>juanpabloposadavillegas 2007 @gmail.com</t>
  </si>
  <si>
    <t xml:space="preserve">Stiwar Contreras Arcila </t>
  </si>
  <si>
    <t>scontreras arcila@itloud.com</t>
  </si>
  <si>
    <t>Alvaro Villegas Gomez</t>
  </si>
  <si>
    <t>!8/7/2020</t>
  </si>
  <si>
    <t>Juan David Castaño Pardo</t>
  </si>
  <si>
    <t>Deison Stiven Ruiz</t>
  </si>
  <si>
    <t>Melanny Girado Zapata</t>
  </si>
  <si>
    <t>Brahian Sebastian Benjumea Barrera</t>
  </si>
  <si>
    <t xml:space="preserve">Luz Dary Carvajal Cervantes </t>
  </si>
  <si>
    <t>2 Santa Cruz</t>
  </si>
  <si>
    <t>Popular # 2</t>
  </si>
  <si>
    <t>Angelica Maria Martinez Aguirre</t>
  </si>
  <si>
    <t>M</t>
  </si>
  <si>
    <t>O+</t>
  </si>
  <si>
    <r>
      <rPr>
        <u/>
        <sz val="11"/>
        <color rgb="FF1155CC"/>
        <rFont val="Arial"/>
        <family val="2"/>
      </rPr>
      <t>Rubenarenas.71@gmail.com</t>
    </r>
  </si>
  <si>
    <t xml:space="preserve">La Isla </t>
  </si>
  <si>
    <t>Noveno</t>
  </si>
  <si>
    <t>PENCIONADO</t>
  </si>
  <si>
    <t>CONTRIBUTIVO</t>
  </si>
  <si>
    <t>POLNAL</t>
  </si>
  <si>
    <t>4 años</t>
  </si>
  <si>
    <t>VOLUNTARIO</t>
  </si>
  <si>
    <t>3 Santa Cruz</t>
  </si>
  <si>
    <t>Dulce Maria Henao</t>
  </si>
  <si>
    <r>
      <rPr>
        <u/>
        <sz val="11"/>
        <color rgb="FF1155CC"/>
        <rFont val="Arial"/>
        <family val="2"/>
      </rPr>
      <t>manuelitorincon18@gmail.com</t>
    </r>
  </si>
  <si>
    <t>NUEVA EPS</t>
  </si>
  <si>
    <t>COORDINADOR</t>
  </si>
  <si>
    <t>4 Santa Cruz</t>
  </si>
  <si>
    <t>Jackeline Londoño Quintero</t>
  </si>
  <si>
    <t>F</t>
  </si>
  <si>
    <t>A+</t>
  </si>
  <si>
    <r>
      <rPr>
        <u/>
        <sz val="11"/>
        <color rgb="FF1155CC"/>
        <rFont val="Arial"/>
        <family val="2"/>
      </rPr>
      <t>angelamarti0425@gmail.com</t>
    </r>
  </si>
  <si>
    <t>popular 2</t>
  </si>
  <si>
    <t>Undecimo</t>
  </si>
  <si>
    <t>INDEPENDIENTE</t>
  </si>
  <si>
    <t>BENEFICIARIO</t>
  </si>
  <si>
    <t>EPS SURA</t>
  </si>
  <si>
    <t>9 años</t>
  </si>
  <si>
    <t>5 Santa Cruz</t>
  </si>
  <si>
    <t>Juan Esteban Marin Carmona</t>
  </si>
  <si>
    <r>
      <rPr>
        <u/>
        <sz val="11"/>
        <color rgb="FF1155CC"/>
        <rFont val="Arial"/>
        <family val="2"/>
      </rPr>
      <t>luzmery-sanchez@hotmail.com</t>
    </r>
  </si>
  <si>
    <t>OFICIOS VARIOS</t>
  </si>
  <si>
    <t>5 años</t>
  </si>
  <si>
    <t>6 Santa Cruz</t>
  </si>
  <si>
    <t>Karen Yirley Alvarez Caro</t>
  </si>
  <si>
    <r>
      <rPr>
        <u/>
        <sz val="11"/>
        <color rgb="FF1155CC"/>
        <rFont val="Arial"/>
        <family val="2"/>
      </rPr>
      <t>taniecita43@gmail</t>
    </r>
  </si>
  <si>
    <t>Sexto</t>
  </si>
  <si>
    <t>SUBSIDIADO</t>
  </si>
  <si>
    <t>SISBEN</t>
  </si>
  <si>
    <t>7 Santa Cruz</t>
  </si>
  <si>
    <t>Lenny Alejandro Moreno Arias</t>
  </si>
  <si>
    <r>
      <rPr>
        <u/>
        <sz val="11"/>
        <color rgb="FF1155CC"/>
        <rFont val="Arial"/>
        <family val="2"/>
      </rPr>
      <t>morenoariaslennyslejandro14@.com</t>
    </r>
  </si>
  <si>
    <t xml:space="preserve">Septimo </t>
  </si>
  <si>
    <t>CONSERJE</t>
  </si>
  <si>
    <t>8 Santa Cruz</t>
  </si>
  <si>
    <t>Luz Mery Sanchez Espinoza</t>
  </si>
  <si>
    <r>
      <rPr>
        <u/>
        <sz val="11"/>
        <color rgb="FF1155CC"/>
        <rFont val="Arial"/>
        <family val="2"/>
      </rPr>
      <t>juanestebanmarincarmona9@gmail.com</t>
    </r>
  </si>
  <si>
    <t>pópula 1</t>
  </si>
  <si>
    <t>ESTUDIANTE</t>
  </si>
  <si>
    <t>9 Santa Cruz</t>
  </si>
  <si>
    <t>Manuel Rincon Rios</t>
  </si>
  <si>
    <r>
      <rPr>
        <u/>
        <sz val="11"/>
        <color rgb="FF1155CC"/>
        <rFont val="Arial"/>
        <family val="2"/>
      </rPr>
      <t>santiagobeltrancaro273@gmail.com</t>
    </r>
  </si>
  <si>
    <t>popula 1</t>
  </si>
  <si>
    <t>LOGISTIAC</t>
  </si>
  <si>
    <t>SABIA SALUT</t>
  </si>
  <si>
    <t>10 Santa Cruz</t>
  </si>
  <si>
    <t>Marcos Fidel Aguirre Davila</t>
  </si>
  <si>
    <r>
      <rPr>
        <u/>
        <sz val="11"/>
        <color rgb="FF1155CC"/>
        <rFont val="Arial"/>
        <family val="2"/>
      </rPr>
      <t>marcofidel04@homail.com</t>
    </r>
  </si>
  <si>
    <t>24 años</t>
  </si>
  <si>
    <t>11 Santa Cruz</t>
  </si>
  <si>
    <t>Marisol Martines Aguirre</t>
  </si>
  <si>
    <t>B+</t>
  </si>
  <si>
    <r>
      <rPr>
        <u/>
        <sz val="11"/>
        <color rgb="FF1155CC"/>
        <rFont val="Arial"/>
        <family val="2"/>
      </rPr>
      <t>Dulcehenao447@gmail.com</t>
    </r>
  </si>
  <si>
    <t>ESTUDIANTRE</t>
  </si>
  <si>
    <t>3 años</t>
  </si>
  <si>
    <t>12 Santa Cruz</t>
  </si>
  <si>
    <t>Ruben Darion Arena Ospina</t>
  </si>
  <si>
    <r>
      <rPr>
        <u/>
        <sz val="11"/>
        <color rgb="FF1155CC"/>
        <rFont val="Arial"/>
        <family val="2"/>
      </rPr>
      <t>isa19952014@outlook.com</t>
    </r>
  </si>
  <si>
    <t>SANITAS</t>
  </si>
  <si>
    <t>10 años</t>
  </si>
  <si>
    <t>13 Santa Cruz</t>
  </si>
  <si>
    <t>Santiago Beltran</t>
  </si>
  <si>
    <r>
      <rPr>
        <u/>
        <sz val="11"/>
        <color rgb="FF1155CC"/>
        <rFont val="Arial"/>
        <family val="2"/>
      </rPr>
      <t>jackelinelondonoo@hotmail.com</t>
    </r>
  </si>
  <si>
    <t>CONFESIONISTA</t>
  </si>
  <si>
    <t>SALUD TOTAL</t>
  </si>
  <si>
    <t>7 años</t>
  </si>
  <si>
    <t>Comité</t>
  </si>
  <si>
    <t>Gianny Sofia Soto Rivera</t>
  </si>
  <si>
    <t>giaso19sotorivera@gmail.com</t>
  </si>
  <si>
    <t>Séptimo</t>
  </si>
  <si>
    <t>INACTIVO</t>
  </si>
  <si>
    <t>Dulce María España Parra</t>
  </si>
  <si>
    <t xml:space="preserve">dulcemariaespanaparrs@gmail.com </t>
  </si>
  <si>
    <t>Quinto</t>
  </si>
  <si>
    <t>Isabella Betancur Quintero</t>
  </si>
  <si>
    <t>sefa22@hotmail.com</t>
  </si>
  <si>
    <t>Leisa Yohana Arango Ochoa</t>
  </si>
  <si>
    <t>leisaarango@gmail.com</t>
  </si>
  <si>
    <t>Undécimo</t>
  </si>
  <si>
    <t>Yanelis Vásquez Álvarez</t>
  </si>
  <si>
    <t>yvasuquez@gmail.com</t>
  </si>
  <si>
    <t>Jorge Luis Suescun Restrepo</t>
  </si>
  <si>
    <t>jorgesuescun55@gmail.com</t>
  </si>
  <si>
    <t>DESEMPLEADO</t>
  </si>
  <si>
    <t>SAVIA SALUD</t>
  </si>
  <si>
    <t>Teléfono / Celular</t>
  </si>
  <si>
    <t xml:space="preserve">Rol en el Comité/Comisión </t>
  </si>
  <si>
    <t xml:space="preserve">3 Manrique </t>
  </si>
  <si>
    <t>Comisión</t>
  </si>
  <si>
    <t>El Raizal</t>
  </si>
  <si>
    <t>Juan Carlos Idárraga Vargas</t>
  </si>
  <si>
    <t>lakasaidarraga04@gmail.com</t>
  </si>
  <si>
    <t>Raizal</t>
  </si>
  <si>
    <t>Profesional</t>
  </si>
  <si>
    <t xml:space="preserve">Trabajador por horas </t>
  </si>
  <si>
    <t>Contributivo</t>
  </si>
  <si>
    <t>Sura</t>
  </si>
  <si>
    <t>Voluntario</t>
  </si>
  <si>
    <t>Nora Elena Moreno Naranjo</t>
  </si>
  <si>
    <t>morenoselena8671@gmail.com</t>
  </si>
  <si>
    <t>Octavo</t>
  </si>
  <si>
    <t>Independiente</t>
  </si>
  <si>
    <t>Subsidiado</t>
  </si>
  <si>
    <t>Coordinador</t>
  </si>
  <si>
    <t>Yasmín Adriana</t>
  </si>
  <si>
    <t>minmena1@hotmail.com</t>
  </si>
  <si>
    <t>Independiente - Líder Social</t>
  </si>
  <si>
    <t>Sanitas</t>
  </si>
  <si>
    <t>Berta Nelly Bermúdez Mejía</t>
  </si>
  <si>
    <t>nelly21011973@gmail.com</t>
  </si>
  <si>
    <t>Pensionada</t>
  </si>
  <si>
    <t>Saludcoop</t>
  </si>
  <si>
    <t>Arbey Álvarez</t>
  </si>
  <si>
    <t>luisarbey9295@gmail.com</t>
  </si>
  <si>
    <t>Conductor</t>
  </si>
  <si>
    <t>Beatriz Acevedo Zapata</t>
  </si>
  <si>
    <t>acevedozapatabeatriz10@gmail.com</t>
  </si>
  <si>
    <t>Ama de Casa</t>
  </si>
  <si>
    <t>SI</t>
  </si>
  <si>
    <t>San José de La Cima # 1</t>
  </si>
  <si>
    <t>Brian Steven Arrieta Arango</t>
  </si>
  <si>
    <t>arrietabrian929@gmail.com</t>
  </si>
  <si>
    <t>San José La Cima # 1</t>
  </si>
  <si>
    <t>Técnico</t>
  </si>
  <si>
    <t>Auxiliar Operativo</t>
  </si>
  <si>
    <t>Inactivo</t>
  </si>
  <si>
    <t>Hamilton David</t>
  </si>
  <si>
    <t>03/17/2006</t>
  </si>
  <si>
    <t>goezjd17@gmail.com</t>
  </si>
  <si>
    <t>Estudiante</t>
  </si>
  <si>
    <t>Salud Total</t>
  </si>
  <si>
    <t>Martha Inés Taborda Hernández</t>
  </si>
  <si>
    <t>06/21/1953</t>
  </si>
  <si>
    <t>sandra.berrio.velez@gmail.com</t>
  </si>
  <si>
    <t>Nueva Eps</t>
  </si>
  <si>
    <t>Sandra Milena Vélez Berrio</t>
  </si>
  <si>
    <t>Esteban Vélez Henao</t>
  </si>
  <si>
    <t>diego.velez1225@unaula.edu.co</t>
  </si>
  <si>
    <t>Docente</t>
  </si>
  <si>
    <t>Sulma Zuluaga Ocampo</t>
  </si>
  <si>
    <t>sucasejo@hotmail.com</t>
  </si>
  <si>
    <t>Agente Educativo</t>
  </si>
  <si>
    <t>San José de La Cima # 2</t>
  </si>
  <si>
    <t>Juan Carlos Mesa Moncada</t>
  </si>
  <si>
    <t>juancarlosmesamoncada@gmail.com</t>
  </si>
  <si>
    <t>San José La Cima # 2</t>
  </si>
  <si>
    <t>noveno</t>
  </si>
  <si>
    <t>Activo</t>
  </si>
  <si>
    <t>Luz Marina Carmona Ríos</t>
  </si>
  <si>
    <t>O-</t>
  </si>
  <si>
    <t>marinacarmona285@gmail.com</t>
  </si>
  <si>
    <t>quinto de primaria</t>
  </si>
  <si>
    <t>Dora Serna</t>
  </si>
  <si>
    <t>Liliana Carmona Rios</t>
  </si>
  <si>
    <t>No tiene</t>
  </si>
  <si>
    <t>Sisben</t>
  </si>
  <si>
    <t>Luisa Fernanda Sepúlveda Cárdenas</t>
  </si>
  <si>
    <t>luisasepulveda4897@gmail.com</t>
  </si>
  <si>
    <t xml:space="preserve">Desempleada </t>
  </si>
  <si>
    <t xml:space="preserve">Mónica Mercedes García </t>
  </si>
  <si>
    <t>sanjoselacima2@gmail.com</t>
  </si>
  <si>
    <t xml:space="preserve">Empleada Doméstica </t>
  </si>
  <si>
    <t>3 Manrique</t>
  </si>
  <si>
    <t>Dylan Rivera Ospina</t>
  </si>
  <si>
    <t>AB+</t>
  </si>
  <si>
    <t>riveraospinadylanyesid@gmail.com</t>
  </si>
  <si>
    <t xml:space="preserve">Octavo </t>
  </si>
  <si>
    <t>Savia Salud</t>
  </si>
  <si>
    <t>Gloria Amparo Agudelo</t>
  </si>
  <si>
    <t>angelesdeluzairers2@gmail.com</t>
  </si>
  <si>
    <t>San José La Cima # 3</t>
  </si>
  <si>
    <t>Lider Comunal</t>
  </si>
  <si>
    <t>Barrios Unidos</t>
  </si>
  <si>
    <t>Alexandra Montaño Ossa</t>
  </si>
  <si>
    <t>alexa0327@hotmail.com</t>
  </si>
  <si>
    <t>Líder Social</t>
  </si>
  <si>
    <t>José Gabriel González Taborda</t>
  </si>
  <si>
    <t>jogagota@hotmail.com</t>
  </si>
  <si>
    <t>Tapicero</t>
  </si>
  <si>
    <t>Yesid Alberto Ochoa Galeano</t>
  </si>
  <si>
    <t>ochoa-yesid@hotmail.com</t>
  </si>
  <si>
    <t>Brigadista Cueros Vélez</t>
  </si>
  <si>
    <t>Osvaldo Surley Pulgarín Muñoz</t>
  </si>
  <si>
    <t>pulgarinosbaldo110@gmail.com</t>
  </si>
  <si>
    <t>Mensajero</t>
  </si>
  <si>
    <t>Darlenis Rodríguez Ortiz</t>
  </si>
  <si>
    <t>darluis1811@gmail.com</t>
  </si>
  <si>
    <t>Sanidad Policía</t>
  </si>
  <si>
    <t xml:space="preserve">María Cano Carambolas </t>
  </si>
  <si>
    <t>Andrés Adolfo Seguro Betancur</t>
  </si>
  <si>
    <t>andreseguro16@hotmail.com</t>
  </si>
  <si>
    <t>Segundo</t>
  </si>
  <si>
    <t>Oficios Varios</t>
  </si>
  <si>
    <t>Jorge Iban Moreno</t>
  </si>
  <si>
    <t>Gerardo Aristizábal</t>
  </si>
  <si>
    <t>03/17/1963</t>
  </si>
  <si>
    <t>William Largo Alcalde</t>
  </si>
  <si>
    <t>Tercero</t>
  </si>
  <si>
    <t>Marisol</t>
  </si>
  <si>
    <t>solmary6826@gmail.com</t>
  </si>
  <si>
    <t>Sabía salud</t>
  </si>
  <si>
    <t>Álvaro Javier Giraldo</t>
  </si>
  <si>
    <t>La Cruz</t>
  </si>
  <si>
    <t>Yuliana Astrid Pérez Zapata</t>
  </si>
  <si>
    <t>japerezapa@gmail.com</t>
  </si>
  <si>
    <t>Confeccionista</t>
  </si>
  <si>
    <t>Coordinadora</t>
  </si>
  <si>
    <t>Shirley Jhoana Rave Rivera</t>
  </si>
  <si>
    <t>Joan Alexander Muñoz Saldarriaga</t>
  </si>
  <si>
    <t>A-</t>
  </si>
  <si>
    <t>munozsaldarriaga663@gmail.com</t>
  </si>
  <si>
    <t>Lina Marcela Sánchez Pérez</t>
  </si>
  <si>
    <t>Independiemte</t>
  </si>
  <si>
    <t>Expedito Cañaveral</t>
  </si>
  <si>
    <t>Líder Comunitario</t>
  </si>
  <si>
    <t>Carlos Alberto Holguín</t>
  </si>
  <si>
    <t>Presidente JAC</t>
  </si>
  <si>
    <t>El Jardín</t>
  </si>
  <si>
    <t>Franklin Botero</t>
  </si>
  <si>
    <t>botero.franklin@yahoo.es</t>
  </si>
  <si>
    <t>Ernesto</t>
  </si>
  <si>
    <t>ernestocrespo1954@gmail.com</t>
  </si>
  <si>
    <t>Artesano</t>
  </si>
  <si>
    <t>Luz Marina Taborda Hurtado</t>
  </si>
  <si>
    <t>luzmariluz86@gmail.com</t>
  </si>
  <si>
    <t>Rafael Cardona</t>
  </si>
  <si>
    <t>rafaburitica@gmail.com</t>
  </si>
  <si>
    <t>Reparación de Computadores</t>
  </si>
  <si>
    <t>Raúl Enrique Rico</t>
  </si>
  <si>
    <t>manco@gmail.com</t>
  </si>
  <si>
    <t>Fray Edison Ocampo Serna</t>
  </si>
  <si>
    <t xml:space="preserve">Santa Inés </t>
  </si>
  <si>
    <t>Jacqueline Cartagena</t>
  </si>
  <si>
    <t>siempresola2012@hotmail.com</t>
  </si>
  <si>
    <t>Santa Inés</t>
  </si>
  <si>
    <t>Instructora de Baile</t>
  </si>
  <si>
    <t>Adriana Patricia</t>
  </si>
  <si>
    <t>Cuarto</t>
  </si>
  <si>
    <t>Mariana Pérez Álvarez</t>
  </si>
  <si>
    <t>alvapermar12@gmail.com</t>
  </si>
  <si>
    <t>Juliana Elizabeth Meneses Cartagena</t>
  </si>
  <si>
    <t>menesesjuliana2003@gmail.com</t>
  </si>
  <si>
    <t>Desempleada</t>
  </si>
  <si>
    <t>Wendy Yiced Cartagena</t>
  </si>
  <si>
    <t>cartegenayiced@gmail.com</t>
  </si>
  <si>
    <t>Décimo</t>
  </si>
  <si>
    <t>Alejandra Aguirre González</t>
  </si>
  <si>
    <t>deapsico.info@gmail.com</t>
  </si>
  <si>
    <t>Posgrado</t>
  </si>
  <si>
    <t>Psicológa</t>
  </si>
  <si>
    <t>Versalles # 1</t>
  </si>
  <si>
    <t xml:space="preserve">Xiomara Ivonne Hernandez Ceballos </t>
  </si>
  <si>
    <t>xiomarahernandezceballos@gmail.com</t>
  </si>
  <si>
    <t xml:space="preserve">Empleada </t>
  </si>
  <si>
    <t>Allison Calle Ramírez</t>
  </si>
  <si>
    <t>alisoncalleramirez@gmail.com</t>
  </si>
  <si>
    <t>Brallan Zapata Aristizábal</t>
  </si>
  <si>
    <t>brallanzapata977@gmail.com</t>
  </si>
  <si>
    <t>Desempleado</t>
  </si>
  <si>
    <t>Sandra Milena Olarte Castro</t>
  </si>
  <si>
    <t>ssndris2944@gmail.com</t>
  </si>
  <si>
    <t>Miguel Ángel Mazo Vargas</t>
  </si>
  <si>
    <t>miguelmazo2006@gmail.com</t>
  </si>
  <si>
    <t>Julio Cesar Moreno</t>
  </si>
  <si>
    <t>juliocalle1226@gmail.com</t>
  </si>
  <si>
    <t xml:space="preserve">Inactivo </t>
  </si>
  <si>
    <t>Versalles Sur</t>
  </si>
  <si>
    <t>Brahian Alexis Montoya Roldan</t>
  </si>
  <si>
    <t>brahian.montoya@gmail.com</t>
  </si>
  <si>
    <t>Versalles sur</t>
  </si>
  <si>
    <t>Empleado</t>
  </si>
  <si>
    <t>Cindy Tatiana Echeverri</t>
  </si>
  <si>
    <t>cindy04060@gmail.com</t>
  </si>
  <si>
    <t>Valentina Echeverri Osorio</t>
  </si>
  <si>
    <t>echeverryosoriov@gmail.com</t>
  </si>
  <si>
    <t>Douglas Serna Tuberquia</t>
  </si>
  <si>
    <t>lacalleylacarrera.domic@hotmail.com</t>
  </si>
  <si>
    <t>Empleada</t>
  </si>
  <si>
    <t>María Aracely Guisao Serna</t>
  </si>
  <si>
    <t>mariaaracelyguisaoserna@gmail.com</t>
  </si>
  <si>
    <t>Gladys Helena Castrillón García</t>
  </si>
  <si>
    <t>slena8610@gmail.com</t>
  </si>
  <si>
    <t xml:space="preserve">Comerciante </t>
  </si>
  <si>
    <t>Versalles # 2</t>
  </si>
  <si>
    <t>Emely Alejandra Henao Gómez</t>
  </si>
  <si>
    <t>alejitaoct2002@gmail,com</t>
  </si>
  <si>
    <t>Yirliana Laririssa Giraldo Zapata</t>
  </si>
  <si>
    <t>yirlianagiraldo500@gmail.com</t>
  </si>
  <si>
    <t>Alba Lorena Tejada Velásquez</t>
  </si>
  <si>
    <t>María Yesenia Gómez</t>
  </si>
  <si>
    <t>Kelly Johana Valencia Quebrada</t>
  </si>
  <si>
    <t>kellyvalencia1990@gmail.com</t>
  </si>
  <si>
    <t>Agente Educativa</t>
  </si>
  <si>
    <t>Ossman Annover Sánchez R</t>
  </si>
  <si>
    <t>Reciclador</t>
  </si>
  <si>
    <t xml:space="preserve">Comisión </t>
  </si>
  <si>
    <t xml:space="preserve">Leidy Diana Castañeda </t>
  </si>
  <si>
    <t xml:space="preserve">La Honda </t>
  </si>
  <si>
    <t>Vanessa Pamplona</t>
  </si>
  <si>
    <t>vanesa.hincapie2005@gmail.com</t>
  </si>
  <si>
    <t>La Honda</t>
  </si>
  <si>
    <t>Andrea Higuita</t>
  </si>
  <si>
    <t>andreavivianazapatahiguita@hotmai.com</t>
  </si>
  <si>
    <t>Rocío Ciro</t>
  </si>
  <si>
    <t>johnalejandroibarraciro5@gmail.com</t>
  </si>
  <si>
    <t>Niriam Durango</t>
  </si>
  <si>
    <t>No aplica</t>
  </si>
  <si>
    <t>Maicol Úsuga</t>
  </si>
  <si>
    <t>Catherine Arteaga Goméz</t>
  </si>
  <si>
    <t>arteagagomezc12@gmail.com</t>
  </si>
  <si>
    <t xml:space="preserve">Decimo </t>
  </si>
  <si>
    <t>Ama de casa</t>
  </si>
  <si>
    <t xml:space="preserve">Salud Total </t>
  </si>
  <si>
    <t xml:space="preserve">Activo </t>
  </si>
  <si>
    <t xml:space="preserve">Las Granjas </t>
  </si>
  <si>
    <t>Paulina</t>
  </si>
  <si>
    <t>paulina10munoz@gmail.com</t>
  </si>
  <si>
    <t>Manrique Las Granjas</t>
  </si>
  <si>
    <t>Juan Manuel Ospina Cardona</t>
  </si>
  <si>
    <t>juanmanueloc15@gmail.com</t>
  </si>
  <si>
    <t>Yurany Snith Vahos Cardona</t>
  </si>
  <si>
    <t>yura.vahos@gmail.com</t>
  </si>
  <si>
    <t>Jasmín Cardona Zapata</t>
  </si>
  <si>
    <t>Walfer Manuel Velásquez Echavarría</t>
  </si>
  <si>
    <t>wallyvelas@gmail.com</t>
  </si>
  <si>
    <t>Jhoan Alexis Tejada García</t>
  </si>
  <si>
    <t>alexis21garcia@gmail.com</t>
  </si>
  <si>
    <t>Bello Oriente JAC</t>
  </si>
  <si>
    <t>wilfer Arley Alvarez</t>
  </si>
  <si>
    <t>wilfertransito@gmail.com</t>
  </si>
  <si>
    <t>Bello Oriente</t>
  </si>
  <si>
    <t>Daniel Stiben Henao Zapata</t>
  </si>
  <si>
    <t>zapata320@gmail.com</t>
  </si>
  <si>
    <t xml:space="preserve">Independiente </t>
  </si>
  <si>
    <t>Nicol Jesenia Santoya Cuadros</t>
  </si>
  <si>
    <t>santoyanicol@gmail.com</t>
  </si>
  <si>
    <t>Diana Patriciaa Santoya Cuadros</t>
  </si>
  <si>
    <t>dianapatriciasantoyacuadros@gmail.com</t>
  </si>
  <si>
    <t>María Camila Merino Meneses</t>
  </si>
  <si>
    <t>merinomenecesmc@gmail.com</t>
  </si>
  <si>
    <t>Alba Nury Sánchez Cano</t>
  </si>
  <si>
    <t>juanfelipeyohan5@gmail.com</t>
  </si>
  <si>
    <t>Coosalud</t>
  </si>
  <si>
    <t>Olga Janed Caro</t>
  </si>
  <si>
    <r>
      <rPr>
        <u/>
        <sz val="11"/>
        <color rgb="FF1155CC"/>
        <rFont val="Arial"/>
        <family val="2"/>
      </rPr>
      <t>yanethcaro272@gmail.com</t>
    </r>
  </si>
  <si>
    <t>Lider Comunitaria</t>
  </si>
  <si>
    <t>Santiago Chacón</t>
  </si>
  <si>
    <r>
      <rPr>
        <u/>
        <sz val="11"/>
        <color rgb="FF1155CC"/>
        <rFont val="Arial"/>
        <family val="2"/>
      </rPr>
      <t>chaconsantiago505@gmail.com</t>
    </r>
  </si>
  <si>
    <t>Mirian Álvarez</t>
  </si>
  <si>
    <t>Andrea Estefania Rodas Monsalve</t>
  </si>
  <si>
    <r>
      <rPr>
        <u/>
        <sz val="11"/>
        <color rgb="FF1155CC"/>
        <rFont val="Arial"/>
        <family val="2"/>
      </rPr>
      <t>andrea.rodasmonsalve@gmail.com</t>
    </r>
  </si>
  <si>
    <t>Sandra Milena Sierra Acevedo</t>
  </si>
  <si>
    <r>
      <rPr>
        <u/>
        <sz val="11"/>
        <color rgb="FF1155CC"/>
        <rFont val="Arial"/>
        <family val="2"/>
      </rPr>
      <t>sandramilenasierra830@gmail.com</t>
    </r>
  </si>
  <si>
    <t>Miguel Ángel Vanegas Salgado</t>
  </si>
  <si>
    <t>Comuna</t>
  </si>
  <si>
    <t>Nombre CCGRD</t>
  </si>
  <si>
    <t>Palermo</t>
  </si>
  <si>
    <t>Nora Elena López Aguirre</t>
  </si>
  <si>
    <t>noraelenalopezaguirre@gmail.com</t>
  </si>
  <si>
    <t>Luz María Tobón Delgado</t>
  </si>
  <si>
    <t>tobonm046@gmail.com</t>
  </si>
  <si>
    <t>Adriana María Pérez Taborda</t>
  </si>
  <si>
    <t>nanachicha@hotmailcom</t>
  </si>
  <si>
    <t>Diana Patricia Álvarez</t>
  </si>
  <si>
    <t>dianapalvarez1967@gmail.com</t>
  </si>
  <si>
    <t>Beatriz Del Socorro Franco Agudelo</t>
  </si>
  <si>
    <t>beatrizfranco1963@gmail.com</t>
  </si>
  <si>
    <t>Wilfer Balmore Londoño Acosta</t>
  </si>
  <si>
    <t xml:space="preserve">Juan Fernando Londoño Márquez </t>
  </si>
  <si>
    <t>juanfernandolondonomarquez46@gmail.com</t>
  </si>
  <si>
    <t xml:space="preserve">Emanuel </t>
  </si>
  <si>
    <t xml:space="preserve">Kevin </t>
  </si>
  <si>
    <t>Jhoan Alexander García López</t>
  </si>
  <si>
    <t>ladoncella1983@hotmail.com</t>
  </si>
  <si>
    <t>Oasis</t>
  </si>
  <si>
    <t>Gloria Estella Espinosa Ceballos</t>
  </si>
  <si>
    <t>gloriastellaespinosa012@gmail.com</t>
  </si>
  <si>
    <t>Arcadio</t>
  </si>
  <si>
    <t>arcadiozapata19955@gmail.co</t>
  </si>
  <si>
    <t>Cristian Alejandro Botero Agudelo</t>
  </si>
  <si>
    <t>cristian52-52@hotmail.com</t>
  </si>
  <si>
    <t>Maryi Tobón Guzmán</t>
  </si>
  <si>
    <t>tobonmaryi163@gmail.com</t>
  </si>
  <si>
    <t>Johan Sebastián Ramírez</t>
  </si>
  <si>
    <t>Fredy Alexander Correa Giraldo</t>
  </si>
  <si>
    <t>fredycorrea269@gmail.com</t>
  </si>
  <si>
    <t>Leidy Yurany Zabala Zapata</t>
  </si>
  <si>
    <t>leidyzabalazapata@gmail.com</t>
  </si>
  <si>
    <t>Cristian David Durango Mejía</t>
  </si>
  <si>
    <t>Manrique Central # 1</t>
  </si>
  <si>
    <t>Germán Ramírez Ramírez</t>
  </si>
  <si>
    <t>germanram150@gmail.com</t>
  </si>
  <si>
    <t>Jesús Alberto Herrera Mazo</t>
  </si>
  <si>
    <t>sociolocia78@yahoo.es</t>
  </si>
  <si>
    <t>Luz Adriana Cortés Ruiz</t>
  </si>
  <si>
    <t>nana.cortesr@gmail.com</t>
  </si>
  <si>
    <t>Virgelina Pulgarín</t>
  </si>
  <si>
    <t>virgenpul@hotmail.com</t>
  </si>
  <si>
    <t>Nueva EPS</t>
  </si>
  <si>
    <t>Orfenio De Jesús Montoya Carmona</t>
  </si>
  <si>
    <t>orfeniomontoya@yahoo.com</t>
  </si>
  <si>
    <t>María Socorro Martínez Alzate</t>
  </si>
  <si>
    <t>somar148@hotmail.com</t>
  </si>
  <si>
    <t>Luz Elena Toro Callejas</t>
  </si>
  <si>
    <t>María Elena Murillo Castrillón</t>
  </si>
  <si>
    <t>Julio Fernando Puello Arrieta</t>
  </si>
  <si>
    <t>Jhon Eider Rodríguez Parado</t>
  </si>
  <si>
    <t>Jaime Trujillo</t>
  </si>
  <si>
    <t>jaimetrujillo@yahoo.com</t>
  </si>
  <si>
    <t xml:space="preserve">Los Álamos </t>
  </si>
  <si>
    <t>Jonhatan Sebastián Zapata Molina</t>
  </si>
  <si>
    <t>tattan1426@gmail.com</t>
  </si>
  <si>
    <t>Nathalia Jazmín Tamayo Velásco</t>
  </si>
  <si>
    <t>njtv.3422@hotmail.com</t>
  </si>
  <si>
    <t>Yeny Alejandra Rojas</t>
  </si>
  <si>
    <t>yenyalejandrarojas77@gmail.com</t>
  </si>
  <si>
    <t>Zulma Elena Rojas Betancur</t>
  </si>
  <si>
    <t>zrojasbetancur@gmail.com</t>
  </si>
  <si>
    <t>Kely Yohana Velasco García</t>
  </si>
  <si>
    <t>kgarsia2112@gmail.com</t>
  </si>
  <si>
    <t>Esaú Alexander</t>
  </si>
  <si>
    <t>esaualex.montoya@gmail.com</t>
  </si>
  <si>
    <t>Benoni</t>
  </si>
  <si>
    <t>bermejalalamos@gmail.com</t>
  </si>
  <si>
    <t>Omar Alonso Gallo Higuita</t>
  </si>
  <si>
    <t>omargallodisenador@gmail.com</t>
  </si>
  <si>
    <t>Mónica Yaneth</t>
  </si>
  <si>
    <t>monica.perez08@hotmail.com</t>
  </si>
  <si>
    <t>Jhon Esneider Martínez Cuello</t>
  </si>
  <si>
    <t>jhesmacu@gmail.com</t>
  </si>
  <si>
    <t>Sebastián Carvajal Cartagena</t>
  </si>
  <si>
    <t>sebastiancarvajalcartagena@gmail.com</t>
  </si>
  <si>
    <t>Cristian Camilo Cuervo Gallego</t>
  </si>
  <si>
    <t>camilogallego0820@gmail.com</t>
  </si>
  <si>
    <t xml:space="preserve">La Piñuela </t>
  </si>
  <si>
    <t>Irma Del Socorro Ríos Vargas</t>
  </si>
  <si>
    <t>mima3161@hotmail.com</t>
  </si>
  <si>
    <t>Johana Marcela Aguilar Legarda</t>
  </si>
  <si>
    <t>Steffany Salazar Alomia</t>
  </si>
  <si>
    <t>steffasalazar1993@hotmail.com</t>
  </si>
  <si>
    <t>Marybel Cruz Giraldo</t>
  </si>
  <si>
    <t>maribel_crugi@hotmail.com</t>
  </si>
  <si>
    <t>Walter Martín</t>
  </si>
  <si>
    <t>jelenbf@hotmail.com</t>
  </si>
  <si>
    <t>La Maquinita</t>
  </si>
  <si>
    <t>Juan Camilo Callejas Orozco</t>
  </si>
  <si>
    <t>callejascamilo8@gmail.com</t>
  </si>
  <si>
    <t>Mónica</t>
  </si>
  <si>
    <t>juanari0906@gmail.com</t>
  </si>
  <si>
    <t>Nora Estella Bedoya Ospina</t>
  </si>
  <si>
    <t>stellabedoyao@hotmail.com</t>
  </si>
  <si>
    <t>Estela Varela López</t>
  </si>
  <si>
    <t>estelitavl1980@hotmail.com</t>
  </si>
  <si>
    <t>Irma Lucia Osorio Montoya</t>
  </si>
  <si>
    <t>irmaluok@hotmail.com</t>
  </si>
  <si>
    <t>Arelis Josefina Garnier Martínez</t>
  </si>
  <si>
    <t>arelisgarnier1963@gmail.con</t>
  </si>
  <si>
    <t>María Amparo García</t>
  </si>
  <si>
    <t>Blanca Luz Posada Castaño</t>
  </si>
  <si>
    <t>Marta Elisa Gonzáles</t>
  </si>
  <si>
    <t>Beatriz</t>
  </si>
  <si>
    <t>Marina</t>
  </si>
  <si>
    <t xml:space="preserve">Berlín Parque </t>
  </si>
  <si>
    <t>Helida María Macias Restrepo</t>
  </si>
  <si>
    <t>helymacias69@gimail.com</t>
  </si>
  <si>
    <t>Delfín Freddy Villa Machado</t>
  </si>
  <si>
    <t>happydolphinlover@hotmail.com</t>
  </si>
  <si>
    <t>Manuela Pineda Gómez</t>
  </si>
  <si>
    <t>manuela-pineda96@hotmail.com</t>
  </si>
  <si>
    <t>Reinaldo Alberto Baena</t>
  </si>
  <si>
    <t>breinaldoalberto@gmail.com</t>
  </si>
  <si>
    <t>Jaime Alberto Vásquez Osorio</t>
  </si>
  <si>
    <t>vasquezosoriojaime@gmail.com</t>
  </si>
  <si>
    <t>Edison Suarez Estrada</t>
  </si>
  <si>
    <t>gallegoestradagloriaelena@gmail.com</t>
  </si>
  <si>
    <t>Berlín # 2</t>
  </si>
  <si>
    <t>Germán De Jesús Pérez Ramírez</t>
  </si>
  <si>
    <t>german.45@hotmail.com</t>
  </si>
  <si>
    <t>Floreyda Gómez Gómez</t>
  </si>
  <si>
    <t>floreydagomezgomez@gmail.com</t>
  </si>
  <si>
    <t>Over Enrique Gómez Gómez</t>
  </si>
  <si>
    <t>gomezober4@Gmail.con</t>
  </si>
  <si>
    <t xml:space="preserve">Lucelly Piedrahita Suárez </t>
  </si>
  <si>
    <t>lucypiedrahitasuarez@hotmail.com</t>
  </si>
  <si>
    <t>Ana Teresa De Jesús Giraldo Arango</t>
  </si>
  <si>
    <t>johnarango@gmail.com</t>
  </si>
  <si>
    <t>Ester Dolly Agudelo</t>
  </si>
  <si>
    <t xml:space="preserve">Nicole Manuela Ángel Fernández </t>
  </si>
  <si>
    <t>Dillam Andrés Ángel Fernández</t>
  </si>
  <si>
    <t xml:space="preserve">Diego Bedoya </t>
  </si>
  <si>
    <t>Jairo Puerta</t>
  </si>
  <si>
    <t>Brasilia</t>
  </si>
  <si>
    <t>Maryori Agujero Saldarriaga</t>
  </si>
  <si>
    <t>Claudia</t>
  </si>
  <si>
    <t>Lina María Barreneche Duran</t>
  </si>
  <si>
    <t>María Álvarez</t>
  </si>
  <si>
    <t>María Alejandra Escobar Quiroz</t>
  </si>
  <si>
    <t xml:space="preserve">Campo Valdés El Calvario </t>
  </si>
  <si>
    <t>María Patricia Henao De Álvarez</t>
  </si>
  <si>
    <t>Angela María Villa</t>
  </si>
  <si>
    <t>Margarita Inés Serna Arenas</t>
  </si>
  <si>
    <t>trilliblack1957@gmail.com</t>
  </si>
  <si>
    <t>Giovany Figueroa</t>
  </si>
  <si>
    <t>María Edilma Cano Patiño</t>
  </si>
  <si>
    <t>edilmacano2015@gmail.com</t>
  </si>
  <si>
    <t>Sevilla</t>
  </si>
  <si>
    <t>Beatriz Elena Gómez</t>
  </si>
  <si>
    <t>María Gladys Villa Úsuga</t>
  </si>
  <si>
    <t>Katerine Posada Vásquez</t>
  </si>
  <si>
    <t>Claudia María Arredondo</t>
  </si>
  <si>
    <t>Cesar Hernando Castañeda Estrada</t>
  </si>
  <si>
    <t>Ricardo</t>
  </si>
  <si>
    <t>María Teresa Jiménez Ospina</t>
  </si>
  <si>
    <t>Marysol Correa Sánchez</t>
  </si>
  <si>
    <t>San Isidro Labrador</t>
  </si>
  <si>
    <t>Fabián Lopera</t>
  </si>
  <si>
    <t>Alexander Silva</t>
  </si>
  <si>
    <t>Benur Cardona O</t>
  </si>
  <si>
    <t>Yersson Calle Z</t>
  </si>
  <si>
    <t>Julio Cesar Gil Restrepo</t>
  </si>
  <si>
    <t>Alex Cardona Monsalve</t>
  </si>
  <si>
    <t xml:space="preserve">Moravia El Bosque </t>
  </si>
  <si>
    <t>Esperanza Marín Marín</t>
  </si>
  <si>
    <t>Doris Salcedo</t>
  </si>
  <si>
    <t>Gloria Cardona</t>
  </si>
  <si>
    <t>Ana Lucia Araque</t>
  </si>
  <si>
    <t>Yenni Urrego</t>
  </si>
  <si>
    <t>Mateo Viera</t>
  </si>
  <si>
    <t>Miranda</t>
  </si>
  <si>
    <t>Milena Restrepo</t>
  </si>
  <si>
    <t>Judith Pérez</t>
  </si>
  <si>
    <t>Gisela Morales</t>
  </si>
  <si>
    <t>María Luz Dary Jiménez</t>
  </si>
  <si>
    <t>Carlos Mario Buriticá</t>
  </si>
  <si>
    <t>Ferney Henao</t>
  </si>
  <si>
    <t xml:space="preserve">Berlín # 2 Sector San Nicolás </t>
  </si>
  <si>
    <t>Luz Marina Suescún Sánchez</t>
  </si>
  <si>
    <t>Luz1990522@gmail.com</t>
  </si>
  <si>
    <t>Gloria Nelly Arenas Molina</t>
  </si>
  <si>
    <t>samysabas0103@gmail.com</t>
  </si>
  <si>
    <t xml:space="preserve">Consuelo Del Socorro Chaverra García </t>
  </si>
  <si>
    <t xml:space="preserve">No tiene </t>
  </si>
  <si>
    <t xml:space="preserve">Ruth Maryory Arboleda Marín </t>
  </si>
  <si>
    <t>maryoryarboleda2004@gmail.com</t>
  </si>
  <si>
    <t>María del socorro Muñoz Muñoz</t>
  </si>
  <si>
    <t>mariasocorromunozmunoz2023@gmail.com</t>
  </si>
  <si>
    <t>Nicol Tolosa</t>
  </si>
  <si>
    <t xml:space="preserve">Moravia Oriente </t>
  </si>
  <si>
    <t xml:space="preserve">Wendy Yulieth Higuita Higuita </t>
  </si>
  <si>
    <t>luzmarh.65@gmail.com</t>
  </si>
  <si>
    <t>Luz Mariela</t>
  </si>
  <si>
    <t>Fabian Carvajal</t>
  </si>
  <si>
    <t>Agustín Londoño</t>
  </si>
  <si>
    <t>Iván Darío Hincapié</t>
  </si>
  <si>
    <t>Lina Marcela</t>
  </si>
  <si>
    <t xml:space="preserve">Florencia </t>
  </si>
  <si>
    <t>Doris Elizabet Vásquez Muñoz</t>
  </si>
  <si>
    <t>dorisvm03@gmail.com</t>
  </si>
  <si>
    <t>Dora Cecilia Henao Rojas</t>
  </si>
  <si>
    <t>docher7523@hotmail.com</t>
  </si>
  <si>
    <t>Wilmer David Muñoz</t>
  </si>
  <si>
    <t>wilmertrumpet115@hotmail.com</t>
  </si>
  <si>
    <t>Rosalía Bastidas Tamayo</t>
  </si>
  <si>
    <t>rosalia.bastidas@hotmail.com</t>
  </si>
  <si>
    <t>Carolina Bastidas Tamayo</t>
  </si>
  <si>
    <t>bolan2006@hotmail.com</t>
  </si>
  <si>
    <t>Sandra Milena Quintero López</t>
  </si>
  <si>
    <t>sandramilenaquinterolopez78@gmail.com</t>
  </si>
  <si>
    <t>Mariana Estrada Bastidas</t>
  </si>
  <si>
    <t>rosaliabastidastamayo@gmail.com</t>
  </si>
  <si>
    <t>Sara Cristina Correa</t>
  </si>
  <si>
    <t xml:space="preserve">Florencia  </t>
  </si>
  <si>
    <t>Paulina Higuita</t>
  </si>
  <si>
    <t>higuitapaulina@hotmail.com</t>
  </si>
  <si>
    <t>Pedregal</t>
  </si>
  <si>
    <t>Diego Alexander López Valencia</t>
  </si>
  <si>
    <t>diegolopez8819@gmail.com</t>
  </si>
  <si>
    <t>Gustavo Alberto López Valencia</t>
  </si>
  <si>
    <t xml:space="preserve">gusta722@gmail.com </t>
  </si>
  <si>
    <t>Picaho Sector Primaveral</t>
  </si>
  <si>
    <t>Sandra Patricia Velásquez García</t>
  </si>
  <si>
    <t>sandrypatri@live.com</t>
  </si>
  <si>
    <t>Hugo Armando Monsalve</t>
  </si>
  <si>
    <t>hugoamonsalve@hotmail.com</t>
  </si>
  <si>
    <t>Carolina Cardona Velásquez</t>
  </si>
  <si>
    <t>caritovelasquez32@gmail.com</t>
  </si>
  <si>
    <t>Sara Monsalve Velásquez</t>
  </si>
  <si>
    <t>saramonsalve028@gmail.com</t>
  </si>
  <si>
    <t>Mateo Monsalve Velásquez</t>
  </si>
  <si>
    <t>Mónica Patricia García</t>
  </si>
  <si>
    <t>Cristian Yesid Ruiz Zapata</t>
  </si>
  <si>
    <t>criyeruza06@hotmail.com</t>
  </si>
  <si>
    <t>Gladys Enith Ochoa Rojas</t>
  </si>
  <si>
    <t>gladysochoa1122@gmail.com</t>
  </si>
  <si>
    <t>María Yanet Salazar Alzate</t>
  </si>
  <si>
    <t>Inés González López</t>
  </si>
  <si>
    <t>CCGRD Palenque</t>
  </si>
  <si>
    <t>gaboato@gmail.com</t>
  </si>
  <si>
    <t>Gabriel Antonio Cardona Velasquez</t>
  </si>
  <si>
    <t>santimorah21@gmail.com</t>
  </si>
  <si>
    <t>EPS Sura</t>
  </si>
  <si>
    <t>Susana Castaño Padilla</t>
  </si>
  <si>
    <t>miguelrivillas23@gmail.com</t>
  </si>
  <si>
    <t>Valentina Yepez Arias</t>
  </si>
  <si>
    <t>smoraleosaza@gmail.com</t>
  </si>
  <si>
    <t>Santiago Mora Hernandez</t>
  </si>
  <si>
    <t>mateomalesa77@gmail.com</t>
  </si>
  <si>
    <t>Miguel Angel Rivillas Ramirez</t>
  </si>
  <si>
    <t>camidera@gmail.com</t>
  </si>
  <si>
    <t>Valentina Gomez Saldarriaga</t>
  </si>
  <si>
    <t>Sebastian Morales Isaza</t>
  </si>
  <si>
    <t>312 793 9697</t>
  </si>
  <si>
    <t>Mateo Vergara Muñoz</t>
  </si>
  <si>
    <t>Juan Camilo Cardona Londoño</t>
  </si>
  <si>
    <t>Angela María Londoño Cifuentes</t>
  </si>
  <si>
    <t>Rosa julia cardona torres</t>
  </si>
  <si>
    <t>314 6481063</t>
  </si>
  <si>
    <t>Santiago mora Hernandez</t>
  </si>
  <si>
    <t>321 7580822</t>
  </si>
  <si>
    <t>Rosa Emma Londoño Álvarez</t>
  </si>
  <si>
    <t>martavarez2.1962@gmail.com</t>
  </si>
  <si>
    <t>Alejandra María Muñoz velez</t>
  </si>
  <si>
    <t>Carlos Enrique muñoz Vélez</t>
  </si>
  <si>
    <t>Victorsuaza71@gmail.com</t>
  </si>
  <si>
    <t>NUEVA VILLA DE LA IGUANA</t>
  </si>
  <si>
    <t>ELY YOVANA URREGO TORO</t>
  </si>
  <si>
    <t>martavarez2.1962@gamil.com</t>
  </si>
  <si>
    <t>GLADIS CARMONA GOMEZ</t>
  </si>
  <si>
    <t>ahvalencia59@gmail.com</t>
  </si>
  <si>
    <t>PAOLA NOHEMI AGUIRRE LOPEZ</t>
  </si>
  <si>
    <t>SULDERY RIOS</t>
  </si>
  <si>
    <t>CLAUDIA PATRICIA GIRALDO ORTIZ</t>
  </si>
  <si>
    <t>ELINA MELINA OCHOA RAMIREZ</t>
  </si>
  <si>
    <t>JOSE MARIA MENESES</t>
  </si>
  <si>
    <t>N/A</t>
  </si>
  <si>
    <t>OSCAR RODAS</t>
  </si>
  <si>
    <t>Gladis Carmona Gómez</t>
  </si>
  <si>
    <t>MARITZA HERNADEZ</t>
  </si>
  <si>
    <t>Maria Isabel Muñoz Sepulveda</t>
  </si>
  <si>
    <t>Luz Mónica Muñoz Sepulveda</t>
  </si>
  <si>
    <t>Maria Trinidad Barrera Gomez</t>
  </si>
  <si>
    <t>Berarda de Jesus Gomez Roldan</t>
  </si>
  <si>
    <t>Euiter Gomez Roldan</t>
  </si>
  <si>
    <t>guilermoangel@hotmail.com</t>
  </si>
  <si>
    <t>Claudia Patricia Serna Hernandez</t>
  </si>
  <si>
    <t>Villa Sofia</t>
  </si>
  <si>
    <t>Doriley Miranda</t>
  </si>
  <si>
    <t>blazapo107@gamail.com</t>
  </si>
  <si>
    <t>Luz marina Cifuentes</t>
  </si>
  <si>
    <t>Frantomas12@gmail.com</t>
  </si>
  <si>
    <t>Argemiro Congote</t>
  </si>
  <si>
    <t>Sebastian178175@gmail.com</t>
  </si>
  <si>
    <t>Cecilia Arcila rojas</t>
  </si>
  <si>
    <t>Diana Patricia Patiño Tamayo</t>
  </si>
  <si>
    <t>Santiago Serna Zapata</t>
  </si>
  <si>
    <t>Daniela Sánchez Paez</t>
  </si>
  <si>
    <t>Daily Velásquez Morales</t>
  </si>
  <si>
    <t>Carlos Arturo Cardona Vanegas</t>
  </si>
  <si>
    <t>Sandra Ines Vanegas Asprilla</t>
  </si>
  <si>
    <t>Marta Gladys Alvarez Vallejo</t>
  </si>
  <si>
    <t>Sandra Bibiana Montoya Vargas</t>
  </si>
  <si>
    <t>Javier Hernando Naranjo Orrego</t>
  </si>
  <si>
    <t>Jorge Orlando Arango Betancur</t>
  </si>
  <si>
    <t>Victor Raúl Suaza Pedraza</t>
  </si>
  <si>
    <t>Jaime Andrés Zurita</t>
  </si>
  <si>
    <t>Angela María García Padilla</t>
  </si>
  <si>
    <t>Angela María Mosquera hurtado</t>
  </si>
  <si>
    <t>Alba Mary Sánchez cardona</t>
  </si>
  <si>
    <t>Mildrey Tatiana Murillo lodoño</t>
  </si>
  <si>
    <t>Beatriz Elena caro Cartagena</t>
  </si>
  <si>
    <t>Humberto Valencia Muñoz</t>
  </si>
  <si>
    <t>Laura Rosa Duque Galvis</t>
  </si>
  <si>
    <t>Flor Mariela Molina Montoya</t>
  </si>
  <si>
    <t>Lenis Yaneth Gutiérrez</t>
  </si>
  <si>
    <t>Javier Tangarife Bohórquez</t>
  </si>
  <si>
    <t>Mercedes Guzmán</t>
  </si>
  <si>
    <t>Martha Elsy Sepulveda</t>
  </si>
  <si>
    <t>Luis Alfonso meneses</t>
  </si>
  <si>
    <t>Argemiro congote</t>
  </si>
  <si>
    <t>Maria abigail Gómez Rodríguez</t>
  </si>
  <si>
    <t>Doriley mira</t>
  </si>
  <si>
    <t>Dieho salinas</t>
  </si>
  <si>
    <t>Claudia Patricia Muñoz Correa</t>
  </si>
  <si>
    <t>Armanio Leon Muñoz Puerta</t>
  </si>
  <si>
    <t>Carlos Mario tobon mejia</t>
  </si>
  <si>
    <t>Claudia María Mira Giraldo</t>
  </si>
  <si>
    <t>Lina Maria Callejas</t>
  </si>
  <si>
    <t>María Victoria Restrepo Correa</t>
  </si>
  <si>
    <t>Fernando Alberto Vallejo Arroyave</t>
  </si>
  <si>
    <t>Diana Perez Calderon</t>
  </si>
  <si>
    <t>Ofeliz Florez Zapata</t>
  </si>
  <si>
    <t>Jesus Egidio Cardenas</t>
  </si>
  <si>
    <t>Olga Cecilia Usuga</t>
  </si>
  <si>
    <t>Luz Miriam</t>
  </si>
  <si>
    <t>Luz Marina Torres David</t>
  </si>
  <si>
    <t>Sandra María Giraldo</t>
  </si>
  <si>
    <t>María Luz Mery Zapata Arenas</t>
  </si>
  <si>
    <t>Angel Guillermo Londoño</t>
  </si>
  <si>
    <t>Astrid Liliana Vásquez Giraldo</t>
  </si>
  <si>
    <t>Gloria Inés Ramírez Giraldo</t>
  </si>
  <si>
    <t>Flor Alba López Quiroz</t>
  </si>
  <si>
    <t>Teresa de Jesús Ramírez</t>
  </si>
  <si>
    <t>Cruz Elena Muriel</t>
  </si>
  <si>
    <t>Susana Agudelo Montoya</t>
  </si>
  <si>
    <t>Oscar Gómez Arroyave</t>
  </si>
  <si>
    <t>Angel de Jesús Blandón</t>
  </si>
  <si>
    <t>Francisco Tomás Navarro salcedo</t>
  </si>
  <si>
    <t>Maritza Hernández Osorio</t>
  </si>
  <si>
    <t>Sebastián Ortiz Mejía</t>
  </si>
  <si>
    <t>María Eumelia Gil Valencia</t>
  </si>
  <si>
    <t>María Cecilia Saldarriaga Sánchez</t>
  </si>
  <si>
    <t>Mariana bolaños</t>
  </si>
  <si>
    <t>FABIAN ARTRO CAMPILLO</t>
  </si>
  <si>
    <t>ERNEY MAURICIO ECHAVARRIA ATEHORTUA</t>
  </si>
  <si>
    <t>GLORIA MARCELA SEPULVEDA CASTAÑEDA</t>
  </si>
  <si>
    <t>DANIEL SIERRA RESTREPO</t>
  </si>
  <si>
    <t>JEFERSON ESTIVEN HOYOS AMAYA</t>
  </si>
  <si>
    <t>JHON FREDY POSADA</t>
  </si>
  <si>
    <t>GLORIA SANPEDRO</t>
  </si>
  <si>
    <t>GERMAN BRAVO</t>
  </si>
  <si>
    <t>JESUS ANIVAL VIDAL</t>
  </si>
  <si>
    <t>MARIA MILVIA DEL SOCORRO PIDRAHITA</t>
  </si>
  <si>
    <t>ANA USUGA</t>
  </si>
  <si>
    <t>Liliana Aide Botello Holguín</t>
  </si>
  <si>
    <t>Ana Catalina Perea Moreno</t>
  </si>
  <si>
    <t>Melina Andrea Rivera Isaza</t>
  </si>
  <si>
    <t>Adriana pachón Moncada</t>
  </si>
  <si>
    <t>edwin alexander Urrego Jaramillo</t>
  </si>
  <si>
    <t>Claudia Cecilia Zuluaga Osorno</t>
  </si>
  <si>
    <t>Beatriz Suaza Lopez</t>
  </si>
  <si>
    <t>Maribel Arango Lopez</t>
  </si>
  <si>
    <t>Clara Isabel Jimenez Villa</t>
  </si>
  <si>
    <t>Gloria Irma Rua Jimenez</t>
  </si>
  <si>
    <t>Zeida Castañeda Jurado</t>
  </si>
  <si>
    <t>Rosa Angelica Suaza Lopez</t>
  </si>
  <si>
    <t>Claudia Rojas.</t>
  </si>
  <si>
    <t>claudiarojas71@hotmail.com</t>
  </si>
  <si>
    <t>ZairaKaterine Segura.</t>
  </si>
  <si>
    <t>Gloria Patricia Chavarria</t>
  </si>
  <si>
    <t>Beatriz Zuaza.</t>
  </si>
  <si>
    <t>Beatrizsuaza@gmail.com</t>
  </si>
  <si>
    <t>Alirio Bedoya</t>
  </si>
  <si>
    <t>Pulgariobe49 @gmail .com</t>
  </si>
  <si>
    <t>Fernando Castañeda</t>
  </si>
  <si>
    <t>La Libertad</t>
  </si>
  <si>
    <t>Yedier Ferney Villa Londoño</t>
  </si>
  <si>
    <t>ferneyvilla4@gmail.com</t>
  </si>
  <si>
    <t>El Pinal</t>
  </si>
  <si>
    <t>Daniel Cartagena Vargas</t>
  </si>
  <si>
    <t>danielcartas06@outlook.com</t>
  </si>
  <si>
    <t>Villatina</t>
  </si>
  <si>
    <t>Jean Carlos Ortega Muñoz</t>
  </si>
  <si>
    <t>jeancarlosortega864@gmail.com</t>
  </si>
  <si>
    <t>Yeiston Higuita Muñoz</t>
  </si>
  <si>
    <t>yeistonhiguitamunoz@gmail.com</t>
  </si>
  <si>
    <t>Jacques León Bracamonte</t>
  </si>
  <si>
    <t>jodile100g@gmail.com</t>
  </si>
  <si>
    <t>Juan Paulo Ortega Manco</t>
  </si>
  <si>
    <t>ortegamancojuanpablo@gmail.com</t>
  </si>
  <si>
    <t xml:space="preserve">La Planta </t>
  </si>
  <si>
    <t>José Rodolfo Sánchez</t>
  </si>
  <si>
    <t>Iván Alexander Villa</t>
  </si>
  <si>
    <t>Daniel Alberto Torres</t>
  </si>
  <si>
    <t xml:space="preserve">Villatina </t>
  </si>
  <si>
    <t>Luz Adriana Álvarez Mejía</t>
  </si>
  <si>
    <t>adriana21mejia@gmail.com</t>
  </si>
  <si>
    <t>Luz Yamile García Varela</t>
  </si>
  <si>
    <t>luzyami24@hotmail.com</t>
  </si>
  <si>
    <t>Loren Andrea Ramírez Sánchez</t>
  </si>
  <si>
    <t>ramirezloren85@gmail.com</t>
  </si>
  <si>
    <t>Kevin Ferney Guzmán Agudelo</t>
  </si>
  <si>
    <t>kevin.guzman.454590@gmail.com</t>
  </si>
  <si>
    <t>Edilma Agudelo Ortega</t>
  </si>
  <si>
    <t>edilmaagudelo444@gmail.com</t>
  </si>
  <si>
    <t>Brayan Stiven Velásquez Munera</t>
  </si>
  <si>
    <t>bvelasquez.paecia@gmail.com</t>
  </si>
  <si>
    <t>Víctor Alfonso Ruiz Agudelo</t>
  </si>
  <si>
    <t>victoragudeloruiz@gmail.com</t>
  </si>
  <si>
    <t>Juan Pablo Giraldo Rendon</t>
  </si>
  <si>
    <t>juanpablogiraldorendon1@gmail.com</t>
  </si>
  <si>
    <t>Jensy Daniela Ruiz Londoño</t>
  </si>
  <si>
    <t>iegrj.jensruiz@gmail.com</t>
  </si>
  <si>
    <t>Daniel Ruiz Agudelo</t>
  </si>
  <si>
    <t>danyra2012@gmail.com</t>
  </si>
  <si>
    <t>Magda Leonor Londoño Acevedo</t>
  </si>
  <si>
    <t>magdalondoo-707@hotmail.com</t>
  </si>
  <si>
    <t>Julián Castaño</t>
  </si>
  <si>
    <t>castanojulian318@gmail.com</t>
  </si>
  <si>
    <t>Saira Yuliet Colorado Restrepo</t>
  </si>
  <si>
    <t>saira201171@hotmail.com</t>
  </si>
  <si>
    <t>Mariana Rueda</t>
  </si>
  <si>
    <t>marianaruedaviloria@gmail.com</t>
  </si>
  <si>
    <t>Luis Fernando Zapata Naranjo</t>
  </si>
  <si>
    <t>Sara Paulina Bueno Tapasco</t>
  </si>
  <si>
    <t>claudiabueno493@gmail.com</t>
  </si>
  <si>
    <t>Luz Mariana Rueda Viloria</t>
  </si>
  <si>
    <t>Alan Tabares Villada</t>
  </si>
  <si>
    <t>alantabaresv@iesanfranciscodeasia.edu.co</t>
  </si>
  <si>
    <t>Alejandro Rendón Rendon</t>
  </si>
  <si>
    <t>alejor150212@gmail.com</t>
  </si>
  <si>
    <t>Enciso Praga</t>
  </si>
  <si>
    <t>La Ladera</t>
  </si>
  <si>
    <t xml:space="preserve">PARROQUIA SAN FRANCISCO DE ASIS </t>
  </si>
  <si>
    <t>Perlas</t>
  </si>
  <si>
    <t>Quintas de la playa</t>
  </si>
  <si>
    <t>Colinas de Enciso PA</t>
  </si>
  <si>
    <t>La Sierra</t>
  </si>
  <si>
    <t>Llanaditas</t>
  </si>
  <si>
    <t>Los Mangos</t>
  </si>
  <si>
    <t>Santa Lucia IPUC</t>
  </si>
  <si>
    <t>Esfuerzos de paz 1</t>
  </si>
  <si>
    <t>Caunces de Oriente</t>
  </si>
  <si>
    <t>Jaime de Jesús Zapata Ruíz</t>
  </si>
  <si>
    <t>Pensionado</t>
  </si>
  <si>
    <t>John Jairo Zapata Patiño</t>
  </si>
  <si>
    <t>jmetallicat@hotmail.com</t>
  </si>
  <si>
    <t>Juan Pablo Faraco Mora</t>
  </si>
  <si>
    <t>faraco24@hotmail.com</t>
  </si>
  <si>
    <t>Wilson Eliécer Zuleta Bustamante</t>
  </si>
  <si>
    <t>wilcenzuleta@hotmail.com</t>
  </si>
  <si>
    <t>Laura Torres Sosa</t>
  </si>
  <si>
    <t>Andrea Ramírez</t>
  </si>
  <si>
    <t>Daniela Torres</t>
  </si>
  <si>
    <t>Loreto</t>
  </si>
  <si>
    <t>Nicolás Darío Carvajal Ramírez</t>
  </si>
  <si>
    <t>nicolas.carvajal@outlook.es</t>
  </si>
  <si>
    <t>Carmen Leticia Arroyave Palacio</t>
  </si>
  <si>
    <t>Eresbey de Jesús Díaz Ocampo</t>
  </si>
  <si>
    <t>Hogar</t>
  </si>
  <si>
    <t xml:space="preserve">Loreto </t>
  </si>
  <si>
    <t>Mariela de Jesús Cardona de Cardona</t>
  </si>
  <si>
    <t>Wilmar Darío Galeano López</t>
  </si>
  <si>
    <t>wilmargaleano@hotmail.com</t>
  </si>
  <si>
    <t>Alexander Medina Restrepo</t>
  </si>
  <si>
    <t>alexande-.321@hotmail.com</t>
  </si>
  <si>
    <t>Amparo Serna</t>
  </si>
  <si>
    <t>sernaamparo80@gmail.com</t>
  </si>
  <si>
    <t>Barrios de Jesús</t>
  </si>
  <si>
    <t>Lina Isabel García Londoño</t>
  </si>
  <si>
    <t>linaisabelgarcialondono@gma</t>
  </si>
  <si>
    <t>Juan David Vélez</t>
  </si>
  <si>
    <t>juandavidvelezvalencia1@gmail.com</t>
  </si>
  <si>
    <t>Valeria Zapata Duque</t>
  </si>
  <si>
    <t>valeriazapata925@gmail.com</t>
  </si>
  <si>
    <t xml:space="preserve">Barrio de Jesús </t>
  </si>
  <si>
    <t>Carlos Arturo Atehortúa Hernández</t>
  </si>
  <si>
    <t>Barrio de Jesús</t>
  </si>
  <si>
    <t>Carlos Mario Álvarez Grajales</t>
  </si>
  <si>
    <t>María Victoria</t>
  </si>
  <si>
    <t>El Salvador</t>
  </si>
  <si>
    <t>John Jairo Villada Rodríguez</t>
  </si>
  <si>
    <t>johnjv1953@gmail.com</t>
  </si>
  <si>
    <t xml:space="preserve">El Salvador </t>
  </si>
  <si>
    <t>Margarita Ángel</t>
  </si>
  <si>
    <t>314 7219806</t>
  </si>
  <si>
    <t>angelahm16@hotmail.com</t>
  </si>
  <si>
    <t>Boston</t>
  </si>
  <si>
    <t>Francisco Arturo Ángel Maldonado</t>
  </si>
  <si>
    <t>arturoangel1@gmail.com</t>
  </si>
  <si>
    <t>Darling Guicela Hernández</t>
  </si>
  <si>
    <t>darguiher@hotmail.com</t>
  </si>
  <si>
    <t>Jenny García Londoño</t>
  </si>
  <si>
    <t>jenny.1079g@gmail.com</t>
  </si>
  <si>
    <t>Josué Domingo Tenorio Gaviria</t>
  </si>
  <si>
    <t>jdtega@hotmail.com</t>
  </si>
  <si>
    <t>Ángel Fernando Pérez Chavarriaga</t>
  </si>
  <si>
    <t>angelitoperez2@hotmail.com</t>
  </si>
  <si>
    <t>Francisco Javier Gil</t>
  </si>
  <si>
    <t>Prado</t>
  </si>
  <si>
    <t>Carlos Arturo Ángel Ortiz</t>
  </si>
  <si>
    <t>Adrián de Jesús Ceballos</t>
  </si>
  <si>
    <t>adrian.ceballos29@gmail.com</t>
  </si>
  <si>
    <t>Rafaél Ignacio Pérez Taborda</t>
  </si>
  <si>
    <t>Santa Mónica Campo Alegre</t>
  </si>
  <si>
    <t>Ana Milena Mejía Franco</t>
  </si>
  <si>
    <t>ana.milem79@gmail.com</t>
  </si>
  <si>
    <t>Barrio Cristóbal</t>
  </si>
  <si>
    <t>Margarita María Ospina Arredondo</t>
  </si>
  <si>
    <t>margareth1789@gmail.com</t>
  </si>
  <si>
    <t>Gladys Amanda Ardila Gómez</t>
  </si>
  <si>
    <t>gladysamandaardila@gmail.com</t>
  </si>
  <si>
    <t>Carolina González Mejía</t>
  </si>
  <si>
    <t>carolinameji2298@gmail.com</t>
  </si>
  <si>
    <t>Carlos Alberto Parra Gaviaría</t>
  </si>
  <si>
    <t>parragaviriacarlosalberto@gamil.com</t>
  </si>
  <si>
    <t>Camilo Andrés Parra Arcila</t>
  </si>
  <si>
    <t>cparraarcila@gmail.com</t>
  </si>
  <si>
    <t>Andrés Felipe Úsuga López</t>
  </si>
  <si>
    <t>afusuaga_1993@hotmail.com</t>
  </si>
  <si>
    <t>Santa Mónica</t>
  </si>
  <si>
    <t>Deisy Johana Tobón Ospina</t>
  </si>
  <si>
    <t>lajohanit@gmail.com</t>
  </si>
  <si>
    <t>Carlos Mario González Altamiranda</t>
  </si>
  <si>
    <t>mago0345@hotmail.com</t>
  </si>
  <si>
    <t xml:space="preserve">San José </t>
  </si>
  <si>
    <t>Sebastián Bedoya Muñoz</t>
  </si>
  <si>
    <t>sanjoseemergencias2020@gmail.com</t>
  </si>
  <si>
    <t>Gonzalo Antonio Bedoya Casas</t>
  </si>
  <si>
    <t>María Bibiana Muñoz</t>
  </si>
  <si>
    <t>Karen Valeria Machado Ramírez</t>
  </si>
  <si>
    <t>valeriamachado200616@gmail.com</t>
  </si>
  <si>
    <t>Yulieth Ríos Tenorio</t>
  </si>
  <si>
    <t>rioslibinson@gmail.com</t>
  </si>
  <si>
    <t>Andrés Arboleda Monsalve</t>
  </si>
  <si>
    <t>yoryis1985@hotmail.com</t>
  </si>
  <si>
    <t>Juan Esteban Giraldo Arboleda</t>
  </si>
  <si>
    <t>jg3413362@gmail.com</t>
  </si>
  <si>
    <t>Santiago Bedoya Muñoz</t>
  </si>
  <si>
    <t>sbedoyamunoz8@gmail.com</t>
  </si>
  <si>
    <t>Mariana Bedoya Muñoz</t>
  </si>
  <si>
    <t>maribedoya727@gmail com</t>
  </si>
  <si>
    <t>Jorge Andrés Tejada Caro</t>
  </si>
  <si>
    <t>Luisa Fernanda Rodríguez Salgado</t>
  </si>
  <si>
    <t>luisafernandarodriguezsalgado@gmail.com</t>
  </si>
  <si>
    <t>Oscar de Jesús Ramirez Cartagena</t>
  </si>
  <si>
    <t>Jhon Jairo Carvajal</t>
  </si>
  <si>
    <t>j.jcarvajal68@gmail.com</t>
  </si>
  <si>
    <t>Cecilia Maria Ospina Zapata</t>
  </si>
  <si>
    <t>ceciinaty12@gmail.com</t>
  </si>
  <si>
    <t>Maria Damaris Berrio Ruiz</t>
  </si>
  <si>
    <t>damarisruiz1974@gmail.com</t>
  </si>
  <si>
    <t>Hernando de Jesus Garcia Sosa</t>
  </si>
  <si>
    <t>sosahernadojesus@gmail.com</t>
  </si>
  <si>
    <t>San Rafael</t>
  </si>
  <si>
    <t>Sergio Andrés Moreno Pérez</t>
  </si>
  <si>
    <t>ser.mor1936@gmail.com</t>
  </si>
  <si>
    <t>Juan Pablo Moreno Guisao</t>
  </si>
  <si>
    <t>juanmoreno02062008@gmail.com</t>
  </si>
  <si>
    <t>Mónica Patricia Jaramillo Ospina</t>
  </si>
  <si>
    <t>monicajaramillo762@gmail.com</t>
  </si>
  <si>
    <t>John Freddy Hernández Ortiz</t>
  </si>
  <si>
    <t>johnf1706@gmail.com</t>
  </si>
  <si>
    <t>Brandon Escobar Oquendo</t>
  </si>
  <si>
    <t>brandonescoq03@gmail.com</t>
  </si>
  <si>
    <t>Diana María Guisao</t>
  </si>
  <si>
    <t>dianamariaguisao83@gmail.com</t>
  </si>
  <si>
    <t>Wiliam Orlando Cardona Beltrán</t>
  </si>
  <si>
    <t>williamorlandocb77@gmail.com</t>
  </si>
  <si>
    <t>Betania</t>
  </si>
  <si>
    <t xml:space="preserve"> Kevin Alexis Posada Álvarez</t>
  </si>
  <si>
    <t>lions.guayabal0912@gmail.com</t>
  </si>
  <si>
    <t>Lucia Jiménez Rendón</t>
  </si>
  <si>
    <t>lj977383@gmail.com</t>
  </si>
  <si>
    <t>Alejandro Cadavid Jiménez</t>
  </si>
  <si>
    <t>cadavidjimeneza@gmail.com</t>
  </si>
  <si>
    <t>Carolina Cadavid Jiménez</t>
  </si>
  <si>
    <t>cadavidcarolina77@gmail.com</t>
  </si>
  <si>
    <t>María Edelmira Parra Montoya</t>
  </si>
  <si>
    <t>mariaedelgiriaparramontoya@gmail.com</t>
  </si>
  <si>
    <t>Yovany Alberto Vanegas Rojas</t>
  </si>
  <si>
    <t>yoalvaro27@hotmail.com</t>
  </si>
  <si>
    <t>La Colinita</t>
  </si>
  <si>
    <t>Juliana Fernanda Duque Restrepo</t>
  </si>
  <si>
    <t>duquerestrepo98@gmail.com</t>
  </si>
  <si>
    <t>Ana Cristina Montoya Gutiérrez</t>
  </si>
  <si>
    <t>cristinamontoyag969@gmail.com</t>
  </si>
  <si>
    <t>Sara Sofia Ortega Gonzales</t>
  </si>
  <si>
    <t>saraortega501@gmail.com</t>
  </si>
  <si>
    <t>Luis Jesús Mesa Agudelo</t>
  </si>
  <si>
    <t>mvmesa@hotmail.com</t>
  </si>
  <si>
    <t>Fabio De Jesús Zapata</t>
  </si>
  <si>
    <t>sazaor05@gmail.com</t>
  </si>
  <si>
    <t>Edith María Ávila Beltrán</t>
  </si>
  <si>
    <t>avilabeltranedithmaria@gmail.com</t>
  </si>
  <si>
    <t>La Colina</t>
  </si>
  <si>
    <t>Santiago Álvarez Ruiz</t>
  </si>
  <si>
    <t>santiagoa925@gmail.com</t>
  </si>
  <si>
    <t>Olga Lucía Zapata Valencia</t>
  </si>
  <si>
    <t>oluzava@gmail.com</t>
  </si>
  <si>
    <t>Doris Eugenia Rueda Rincón</t>
  </si>
  <si>
    <t>gamin1966@ hotmail. com</t>
  </si>
  <si>
    <t>María Isabel Gómez Escobar</t>
  </si>
  <si>
    <t>mariaisabelge2003@gmail.com</t>
  </si>
  <si>
    <t>Isabella Vallejo Valencia</t>
  </si>
  <si>
    <t>isabellavallejo613@gmail.com</t>
  </si>
  <si>
    <t>Cristian Camilo Escobar Restrepo</t>
  </si>
  <si>
    <t>3046470134-3113524563</t>
  </si>
  <si>
    <t>camiloescobar21230626@gmail.com</t>
  </si>
  <si>
    <t>Valeryn Ángel Acevedo</t>
  </si>
  <si>
    <t>valerynaa.24@gmail.com</t>
  </si>
  <si>
    <t>El Bolo</t>
  </si>
  <si>
    <t>Jesús María Barrios Ramírez</t>
  </si>
  <si>
    <t>jesbarr075@gmail.com</t>
  </si>
  <si>
    <t>Álvaro Hernando Sánchez Estrada</t>
  </si>
  <si>
    <t>alvarohernandosanchez39@gmail.com</t>
  </si>
  <si>
    <t>Olga Trinidad Restrepo Quiroz</t>
  </si>
  <si>
    <t>jbarrioelbolo@gmail.com</t>
  </si>
  <si>
    <t>Héctor Alexander Palacio Mejía</t>
  </si>
  <si>
    <t>palaciomejiaalexander@gmail.com</t>
  </si>
  <si>
    <t>María Esther Villa Pérez</t>
  </si>
  <si>
    <t>esthervilla466@gmail.com</t>
  </si>
  <si>
    <t>Luz Marina Sierra Escobar</t>
  </si>
  <si>
    <t>Martha Verónica Sierra Escobar</t>
  </si>
  <si>
    <t>marthaveronicasierraescobar@gmail.com</t>
  </si>
  <si>
    <t>Guayabal</t>
  </si>
  <si>
    <t>Diana Marcela Mejía Cuartas</t>
  </si>
  <si>
    <t>dianismc465@gmail.com</t>
  </si>
  <si>
    <t>Jhonatan Andrés Montoya Castro</t>
  </si>
  <si>
    <t>jhonatanmontoyac@ieocm.edu.co</t>
  </si>
  <si>
    <t>Gisella Del Socorro Castrillón Sierra</t>
  </si>
  <si>
    <t>socorrogisela1113@gmail.com</t>
  </si>
  <si>
    <t>Andrés Oquendo Arenas</t>
  </si>
  <si>
    <t xml:space="preserve">nubecel2024@gmail.com </t>
  </si>
  <si>
    <t>Juan Diego Taborda Palacio</t>
  </si>
  <si>
    <t>juan-diego-1992@hotmail.com</t>
  </si>
  <si>
    <t>Luis Fernando Doria Arredondo</t>
  </si>
  <si>
    <t>ferchodoriaredondo@hotmail.com</t>
  </si>
  <si>
    <t>Cristo Rey</t>
  </si>
  <si>
    <t>Raúl Antonio Velasco Rojas</t>
  </si>
  <si>
    <t>raulvelasco2361@gmail.com</t>
  </si>
  <si>
    <t>Paula Andrea González</t>
  </si>
  <si>
    <t>jaccristorey2012@gmail.com</t>
  </si>
  <si>
    <t>John Camilo Ardila Cano</t>
  </si>
  <si>
    <t>ardila9414@hotmail.com</t>
  </si>
  <si>
    <t>Nikol Restrepo Velásquez</t>
  </si>
  <si>
    <t xml:space="preserve">nicolerestrepov@ieocm.edu.co </t>
  </si>
  <si>
    <t>Marcela María Gallego Cuartas</t>
  </si>
  <si>
    <t>marcegallego2008@gmail.com</t>
  </si>
  <si>
    <t>Juan Carlos Salazar López</t>
  </si>
  <si>
    <t xml:space="preserve">salojuca@hotmail.com </t>
  </si>
  <si>
    <t>Mallorca</t>
  </si>
  <si>
    <t>Jose Herley Duque</t>
  </si>
  <si>
    <t>joseduque859@casur.gov.co</t>
  </si>
  <si>
    <t>Juliana Moreno Henao</t>
  </si>
  <si>
    <t>julianahenao0717@gmail.com</t>
  </si>
  <si>
    <t>Sara Gil Pulido</t>
  </si>
  <si>
    <t>sarasgp21@gmail.com</t>
  </si>
  <si>
    <t>Angie Marulanda Silva</t>
  </si>
  <si>
    <t>angiemarusilva@gmail.co</t>
  </si>
  <si>
    <t>Santiago Aristizábal Correa</t>
  </si>
  <si>
    <t>santiagoaristizabalcorrea@gmail.com</t>
  </si>
  <si>
    <t>Valentina Grisales Ortiz</t>
  </si>
  <si>
    <t>valegrisales22@gmail.com</t>
  </si>
  <si>
    <t>El Rodeo</t>
  </si>
  <si>
    <t>Dairo Johan Úsuga Higuita</t>
  </si>
  <si>
    <t>johanusugah057@gmail.com</t>
  </si>
  <si>
    <t>Gloria Mercedes Castillo Galindo</t>
  </si>
  <si>
    <t>gmariad774@hotmail.com</t>
  </si>
  <si>
    <t>Ana María Salazar Agudelo</t>
  </si>
  <si>
    <t xml:space="preserve">anytas23@yahoo.es </t>
  </si>
  <si>
    <t>Diana Katherine Barrera Ruiz</t>
  </si>
  <si>
    <t xml:space="preserve">kathebarrera140@gmail.com </t>
  </si>
  <si>
    <t>Magnolia García Ruíz</t>
  </si>
  <si>
    <t>garciaruiz.magnu@gmail.com</t>
  </si>
  <si>
    <t>Luis David Becerra García</t>
  </si>
  <si>
    <t>Manzanares</t>
  </si>
  <si>
    <t>Adriana Raquel Correa Tapias</t>
  </si>
  <si>
    <t>adricota2030@gmail.com</t>
  </si>
  <si>
    <t>Diana Patricia Londoño Jiménez</t>
  </si>
  <si>
    <t>bony11112165@gmail.com</t>
  </si>
  <si>
    <t>Luis Carlos Cardona Toro</t>
  </si>
  <si>
    <t>lucas2913@hotmail.com</t>
  </si>
  <si>
    <t>Nancy Amparo Villa Calle</t>
  </si>
  <si>
    <t>amparovillacalle@hotmail.com</t>
  </si>
  <si>
    <t>Angela Rosa Cardona Toro</t>
  </si>
  <si>
    <t>angelacardona747Qgmail.com</t>
  </si>
  <si>
    <t>María Lucelly Zapata Díaz</t>
  </si>
  <si>
    <t>maluza592009@gmail.com</t>
  </si>
  <si>
    <t>Campoamor</t>
  </si>
  <si>
    <t>Víctor Raúl Cartagena Cortes</t>
  </si>
  <si>
    <t>supervivenciadelmurcielago@gmail.com</t>
  </si>
  <si>
    <t xml:space="preserve"> Stiven Álvarez Marín</t>
  </si>
  <si>
    <t>stivenalvarezmarin@gmail.com</t>
  </si>
  <si>
    <t>Ovidio Muñoz Zapata</t>
  </si>
  <si>
    <t>pez_r@ hotmail com</t>
  </si>
  <si>
    <t>David López Acevedo</t>
  </si>
  <si>
    <t>davidlopezacevedo@gmail.com</t>
  </si>
  <si>
    <t>Teresita Acevedo Ruda</t>
  </si>
  <si>
    <t>terej0327@gmail.com</t>
  </si>
  <si>
    <t>Diana Cecilia Ramírez Álvarez</t>
  </si>
  <si>
    <t>drdianaramirez@gmail.com</t>
  </si>
  <si>
    <t>Barrio Santa Fe San Pablo</t>
  </si>
  <si>
    <t>Javier De Jesús Pabón Taborda</t>
  </si>
  <si>
    <t xml:space="preserve">javiergotad354@gmail.com </t>
  </si>
  <si>
    <t>Leidy Tatiana Posada González</t>
  </si>
  <si>
    <t>leidyposada2006@gmail.com</t>
  </si>
  <si>
    <t>Mauricio Hincapié Jurado</t>
  </si>
  <si>
    <t>mhincapie9413@gmail.com</t>
  </si>
  <si>
    <t>Lilia María Pabón Taborda</t>
  </si>
  <si>
    <t>lili.pabon431@gmail.com</t>
  </si>
  <si>
    <t>Félix Rodríguez</t>
  </si>
  <si>
    <t>publicidad.sin.fin@gmail.com</t>
  </si>
  <si>
    <t>Luis Javier Ospina Morales</t>
  </si>
  <si>
    <t>luisjavierospinam@gmail.com</t>
  </si>
  <si>
    <t>Carlos Restrepo</t>
  </si>
  <si>
    <t>krlozalbert919@gmail.com</t>
  </si>
  <si>
    <t>Santa Fe Olaya</t>
  </si>
  <si>
    <t>juanprescob@gmail.com</t>
  </si>
  <si>
    <t>Edgar Galeano Pineda</t>
  </si>
  <si>
    <t>egqpi411@hotmail.com</t>
  </si>
  <si>
    <t>Shirley Vanessa Perea Cuesta</t>
  </si>
  <si>
    <t>shirleyvanessap@gmail.com</t>
  </si>
  <si>
    <t>Martha Henao</t>
  </si>
  <si>
    <t>saromarhenao@hotmail.com</t>
  </si>
  <si>
    <t>María Helena Valencia Torres</t>
  </si>
  <si>
    <t>peruchito2312@hotmail.com</t>
  </si>
  <si>
    <t>Yubisay Del Carmen Lozano Sierra</t>
  </si>
  <si>
    <t>yudelcalosi@gmail.com</t>
  </si>
  <si>
    <t>Trinidad</t>
  </si>
  <si>
    <t>Lorena Andrea Ruíz Ríos</t>
  </si>
  <si>
    <t>andreinaruiz501@gmail.com</t>
  </si>
  <si>
    <t>Samuel Burgos</t>
  </si>
  <si>
    <t>msp1222@hotmail.com</t>
  </si>
  <si>
    <t>Jorge Oswaldo Mejía Ospina</t>
  </si>
  <si>
    <t>jactrinidadc15@gmail.com</t>
  </si>
  <si>
    <t>Melanny Tangarife Navarro</t>
  </si>
  <si>
    <t>mtangarifenavarro@gmail.com</t>
  </si>
  <si>
    <t>Carlos Andrés Castañeda Yepes</t>
  </si>
  <si>
    <t>andresdesarrollo1997@gmail.com</t>
  </si>
  <si>
    <t>Harold Vasques Estrada</t>
  </si>
  <si>
    <t>haroldv0418@gmail.com</t>
  </si>
  <si>
    <t>Asocomunal 15</t>
  </si>
  <si>
    <t>Laura Ramírez Patiño</t>
  </si>
  <si>
    <t>lauraramirezpatino916@gmail.com</t>
  </si>
  <si>
    <t>Juan Andrés Ramírez González</t>
  </si>
  <si>
    <t>jramirezgonzales700@gmail.com</t>
  </si>
  <si>
    <t>Beatriz Casas García</t>
  </si>
  <si>
    <t>beatrizcasasgarcias@hotmail.com</t>
  </si>
  <si>
    <t>Cesar Augusto Arias Hidalgo</t>
  </si>
  <si>
    <t xml:space="preserve">cesarsaludable@gmail.com </t>
  </si>
  <si>
    <t>Darlin Vasco Villa</t>
  </si>
  <si>
    <t>nanisvasco@gmail.com</t>
  </si>
  <si>
    <t>Yinalexa Ángel Acevedo</t>
  </si>
  <si>
    <t>yinaalexaangelacevedo@gmail.com</t>
  </si>
  <si>
    <t>Masculino</t>
  </si>
  <si>
    <t>rdgallego@yahoo.es</t>
  </si>
  <si>
    <t>svejitas@gmail.com</t>
  </si>
  <si>
    <t>Lucelly Toro</t>
  </si>
  <si>
    <t>Femenino</t>
  </si>
  <si>
    <t>yoli2658@hotmail.com</t>
  </si>
  <si>
    <t>Maria Yolanda Toro</t>
  </si>
  <si>
    <t>Julian Santiago Restrepo</t>
  </si>
  <si>
    <t>Katherine Perez Florez</t>
  </si>
  <si>
    <t>kt032456@gmail.com</t>
  </si>
  <si>
    <t xml:space="preserve">La Potrera </t>
  </si>
  <si>
    <t xml:space="preserve">Alberto Alonso Cano Ospina </t>
  </si>
  <si>
    <t>alonsocano43@hotmail.com</t>
  </si>
  <si>
    <t xml:space="preserve">La Montaña </t>
  </si>
  <si>
    <t>Ana Lucía Suárez Manco</t>
  </si>
  <si>
    <t>alusuarez@gmail.com</t>
  </si>
  <si>
    <t>Isabela Rodas Sánchez</t>
  </si>
  <si>
    <t>isabelarodas07@gmail.com</t>
  </si>
  <si>
    <t>Diana Marcela Rodas Sánchez</t>
  </si>
  <si>
    <t>dianamarcelarosa@gmail.com</t>
  </si>
  <si>
    <t>Amalia Margarita Pérez</t>
  </si>
  <si>
    <t>Liliana de Jesús Agudelo Vanegas</t>
  </si>
  <si>
    <t>agudelov.liliana@yahoo.es</t>
  </si>
  <si>
    <t>Heber Balanta</t>
  </si>
  <si>
    <t>Paraiso</t>
  </si>
  <si>
    <t xml:space="preserve">William Perez </t>
  </si>
  <si>
    <t xml:space="preserve">wilianpr2@mail.com </t>
  </si>
  <si>
    <t xml:space="preserve">Leidy Johana Cardona </t>
  </si>
  <si>
    <t xml:space="preserve">jacparaiso .1medellin@gmail.com </t>
  </si>
  <si>
    <t xml:space="preserve">Hernando Cardona </t>
  </si>
  <si>
    <t xml:space="preserve">Luz Estela Diaz </t>
  </si>
  <si>
    <t>Juan Jose Cardona Diaz</t>
  </si>
  <si>
    <t>Edilson Logarejo</t>
  </si>
  <si>
    <t>Vicki  Castro</t>
  </si>
  <si>
    <t xml:space="preserve">vick44437@gmail.com </t>
  </si>
  <si>
    <t xml:space="preserve">Palma Media </t>
  </si>
  <si>
    <t xml:space="preserve">Agustin Yotagri </t>
  </si>
  <si>
    <t xml:space="preserve">Marcela correa </t>
  </si>
  <si>
    <t xml:space="preserve">Maribel correa </t>
  </si>
  <si>
    <t xml:space="preserve">Lorena flores </t>
  </si>
  <si>
    <t xml:space="preserve">Cecilia Agudelo </t>
  </si>
  <si>
    <t>Urbanización Puerta del sol</t>
  </si>
  <si>
    <t>Diana Salinas Cadavid</t>
  </si>
  <si>
    <t>Luz Ruby Gonzalez</t>
  </si>
  <si>
    <t>Sandra Maria Ramirez</t>
  </si>
  <si>
    <t>Sofia Palacio Diaz</t>
  </si>
  <si>
    <t>Yolanda Barrera</t>
  </si>
  <si>
    <t>Yasica Paola Villa</t>
  </si>
  <si>
    <t>Maria Victoria Barrera</t>
  </si>
  <si>
    <t xml:space="preserve">Roblemar </t>
  </si>
  <si>
    <t xml:space="preserve">Libardo Franco </t>
  </si>
  <si>
    <t>Aleidi Yaneth Orozco</t>
  </si>
  <si>
    <t>Nidia Madero</t>
  </si>
  <si>
    <t xml:space="preserve">nidiasofia2412@gmail.com </t>
  </si>
  <si>
    <t xml:space="preserve">William Ortega </t>
  </si>
  <si>
    <t>ortewilliam@gmail.com</t>
  </si>
  <si>
    <t xml:space="preserve">Napoleon Marin </t>
  </si>
  <si>
    <t>El Limonar</t>
  </si>
  <si>
    <t>Jhon Fredy Monsalve Ortiz</t>
  </si>
  <si>
    <t>Aguas Frías</t>
  </si>
  <si>
    <t>Diana Enid Gil Ruiz</t>
  </si>
  <si>
    <t>dianagilruiz1230@gmail.com</t>
  </si>
  <si>
    <t>Juan Bautista Gómez Cano</t>
  </si>
  <si>
    <t>juanbautistagomezcano@gmail.com</t>
  </si>
  <si>
    <t>Juan Carlos López Flórez</t>
  </si>
  <si>
    <t>lopezflorezjuancarlos8@gmail.com</t>
  </si>
  <si>
    <t>Mery Estela Gil De Correa</t>
  </si>
  <si>
    <t>merygr1703@gmail.com</t>
  </si>
  <si>
    <t>María Nazarteh Acevedo Montoya</t>
  </si>
  <si>
    <t>nazarethacevedo66@gmail.com</t>
  </si>
  <si>
    <t>Adriana Maria Santana Montoya</t>
  </si>
  <si>
    <t>adrisanta0389@gmail.com</t>
  </si>
  <si>
    <t>Maria Alejandra Gil Montoya</t>
  </si>
  <si>
    <t>mariaalejadragilmontoya69@gmail.com</t>
  </si>
  <si>
    <t xml:space="preserve">Maria Seneida Díaz Perez </t>
  </si>
  <si>
    <t>Carlos Andres Vélez Marin</t>
  </si>
  <si>
    <t>andresvelez1025@gmail.com</t>
  </si>
  <si>
    <t xml:space="preserve">Buga </t>
  </si>
  <si>
    <t>Nicolás Alberto Benítez Ángel</t>
  </si>
  <si>
    <t xml:space="preserve">siemprealtavixta@gmail.com </t>
  </si>
  <si>
    <t>Alejandra Vivas Rivera</t>
  </si>
  <si>
    <t xml:space="preserve">
1038802127</t>
  </si>
  <si>
    <t xml:space="preserve">avivasri0210@gmail.com </t>
  </si>
  <si>
    <t>Carlos Mario Correa Arboleda</t>
  </si>
  <si>
    <t>correaarboledacarlos@gmail.com</t>
  </si>
  <si>
    <t>Ana María Betancur Arias</t>
  </si>
  <si>
    <t>aanita.betancur@gmail.com</t>
  </si>
  <si>
    <t>La Palma</t>
  </si>
  <si>
    <t>Arnobia Mara Román Mazo</t>
  </si>
  <si>
    <t>carmona797lau@gmail.com</t>
  </si>
  <si>
    <t>Angie Paola Areiza Román</t>
  </si>
  <si>
    <t>Jhoselin Areiza Román</t>
  </si>
  <si>
    <t>Ana Patricia Molina Molina</t>
  </si>
  <si>
    <t>Dani Nimai Pandita Benítez Molina</t>
  </si>
  <si>
    <t>dannyto.bm@gmail.com</t>
  </si>
  <si>
    <t>Anny Sharidt Viana Respeto</t>
  </si>
  <si>
    <t xml:space="preserve">shariannyviana12@gmail.com </t>
  </si>
  <si>
    <t>Buenos Aires</t>
  </si>
  <si>
    <t>Fran Darío Peña Vélez</t>
  </si>
  <si>
    <t>inspectorsyso@gmail.com</t>
  </si>
  <si>
    <t>Daniel Restrepo Correa</t>
  </si>
  <si>
    <t>danielrestrepo.correa.9@gmail.com</t>
  </si>
  <si>
    <t xml:space="preserve">Valeri Ramirez Vélez </t>
  </si>
  <si>
    <t>valerinramirezvelez493@gmail.com</t>
  </si>
  <si>
    <t>Centralidad</t>
  </si>
  <si>
    <t>JAC Los Salinas</t>
  </si>
  <si>
    <t>María Eugenia Ortiz Moreno</t>
  </si>
  <si>
    <t>maru.ge@hotmail.com</t>
  </si>
  <si>
    <t>Luz Adriana Mejía Gutiérrez</t>
  </si>
  <si>
    <t>luzad43993@hotmail.com</t>
  </si>
  <si>
    <t>Mauricio Grisales Echavarría</t>
  </si>
  <si>
    <t>mauriogrisales2017@gmail.com</t>
  </si>
  <si>
    <t>Adriana María Muñoz Giraldo</t>
  </si>
  <si>
    <t>adrianamgiraldo2019@gmail.com</t>
  </si>
  <si>
    <t>Margarita Doval Urango</t>
  </si>
  <si>
    <t>marguis1977@gmail.com</t>
  </si>
  <si>
    <t>Carlos David Quiroz Montoya</t>
  </si>
  <si>
    <t>deivid.montoya@hotmail.com</t>
  </si>
  <si>
    <t>Ronaldo Esteba Sierra Zapata</t>
  </si>
  <si>
    <t>ronaldosierra@gmail.com</t>
  </si>
  <si>
    <t>Humberto Enrique Posada Posada</t>
  </si>
  <si>
    <t>Juan José Quiroz Montoya</t>
  </si>
  <si>
    <t>juanjosequiroz582@gmail.com</t>
  </si>
  <si>
    <t>Sharin Vanesa Arango Torres</t>
  </si>
  <si>
    <t>vanessatorres19601126@gmail.com</t>
  </si>
  <si>
    <t>Bairon Alexis Mejía Salazar</t>
  </si>
  <si>
    <t>baironmejia.sjobrero@gail.com</t>
  </si>
  <si>
    <t>María Melisa Posada Mejía</t>
  </si>
  <si>
    <t>melisaposada08@gmail.com</t>
  </si>
  <si>
    <t>Gloria Estella Zapata Pabón</t>
  </si>
  <si>
    <t>mujeres.forjadoras@gmail.com</t>
  </si>
  <si>
    <t>Comité central</t>
  </si>
  <si>
    <t>Danni Luz Ángel Rico</t>
  </si>
  <si>
    <t>toytoy-12@hotmail.com</t>
  </si>
  <si>
    <t>Mariana Carmona Ángel</t>
  </si>
  <si>
    <t>macarcarmona04@gmail.com</t>
  </si>
  <si>
    <t>Adelaida Vinazco</t>
  </si>
  <si>
    <t>madelaida0215@gmail.com</t>
  </si>
  <si>
    <t>Paulina Osorio</t>
  </si>
  <si>
    <t>paoso67@live.com</t>
  </si>
  <si>
    <t>Alberto Santa</t>
  </si>
  <si>
    <t>Jhonatan Arroyabe Bedoya</t>
  </si>
  <si>
    <t>jhonatanaroyabe511@gmai.com</t>
  </si>
  <si>
    <t>Evelyn Estrada</t>
  </si>
  <si>
    <t>Marcela Mesa</t>
  </si>
  <si>
    <t>mesaosoriomarcela@gmail.com</t>
  </si>
  <si>
    <t>JAC pradito parte baja</t>
  </si>
  <si>
    <t>John Fernando Penagos</t>
  </si>
  <si>
    <t>Manuel Salvador Arango Alvarez</t>
  </si>
  <si>
    <t>Orlando de Jesús Flórez Pulgarin</t>
  </si>
  <si>
    <t>Luz Stella Valencia Agudelo</t>
  </si>
  <si>
    <t>JAC pradito parte alta</t>
  </si>
  <si>
    <t>Monica Ramirez</t>
  </si>
  <si>
    <t>Luz Elena Ramirez</t>
  </si>
  <si>
    <t>Adriana Maria Perez Tellez</t>
  </si>
  <si>
    <t>Lina Lalinde</t>
  </si>
  <si>
    <t>Angela Maria Ramirez Estrada</t>
  </si>
  <si>
    <t>JAC Urbanizacion Aragon</t>
  </si>
  <si>
    <t>Roman Duque</t>
  </si>
  <si>
    <t>romanduque60@gmail.com</t>
  </si>
  <si>
    <t>Johan Uparela</t>
  </si>
  <si>
    <t>Alexander Estrada</t>
  </si>
  <si>
    <t>JAC El limonar 2</t>
  </si>
  <si>
    <t>Maria Lucila Velez</t>
  </si>
  <si>
    <t>Andrea Carmona Henao</t>
  </si>
  <si>
    <t>Vapes</t>
  </si>
  <si>
    <t>Luisa Fernanda Agudelo Ortiz</t>
  </si>
  <si>
    <t xml:space="preserve">luisagudelo0090@gmail.com </t>
  </si>
  <si>
    <t>Luis Alexander Naranjo Leon</t>
  </si>
  <si>
    <t>alexca99@yahoo.es</t>
  </si>
  <si>
    <t>Daniel de Jesus Carmona Ramirez</t>
  </si>
  <si>
    <t>carmonadaniel698@gmail.com</t>
  </si>
  <si>
    <t>Maria Adelaida Vinasco Giraldo</t>
  </si>
  <si>
    <t>Nicolas Ardila betancur</t>
  </si>
  <si>
    <t>nicolasarbe20@gmail.com</t>
  </si>
  <si>
    <t>Leidy Johana Ortiz Gomez</t>
  </si>
  <si>
    <t>ortizg.johana@gmail.com</t>
  </si>
  <si>
    <t>Diana Patricia Allvarez Velez</t>
  </si>
  <si>
    <t>diapammm@gmail.com</t>
  </si>
  <si>
    <t>Deysy Ortiz Gomez</t>
  </si>
  <si>
    <t>deysyhi@gmail.com</t>
  </si>
  <si>
    <t>Beatriz Elena Montoya Moreno</t>
  </si>
  <si>
    <t>Beatriz67moreno@hotmail.com</t>
  </si>
  <si>
    <t>Xiomara Lopez Medina</t>
  </si>
  <si>
    <t>xiomaralopezmedina78@gmail.com</t>
  </si>
  <si>
    <t>JAC Villa Pallavecini</t>
  </si>
  <si>
    <t>JAC Porton Limonar</t>
  </si>
  <si>
    <t>Lina Andrea Monsalve</t>
  </si>
  <si>
    <t>Lucero Patricia Florez Gil</t>
  </si>
  <si>
    <t>Leonardo Ortega</t>
  </si>
  <si>
    <t>JAC Vergel sur</t>
  </si>
  <si>
    <t>Maria Anayive Ordonez Plazas</t>
  </si>
  <si>
    <t>Ramiro Lagos Nino</t>
  </si>
  <si>
    <t>Wilson Cano Amaya</t>
  </si>
  <si>
    <t>Sandra Milena Londono Morales</t>
  </si>
  <si>
    <t>Jonny Antonio Perea Mosquera</t>
  </si>
  <si>
    <t>Vereda Astilleros</t>
  </si>
  <si>
    <t>Maria Ediht Zapata Barrientos</t>
  </si>
  <si>
    <t>Laura Muñoz Panesso</t>
  </si>
  <si>
    <t>Jose Alejandro Arboleda Vásquez</t>
  </si>
  <si>
    <t>El Salado</t>
  </si>
  <si>
    <t>Elena Zapata Muñoz</t>
  </si>
  <si>
    <t>Maria Gabriela Muñoz Sanchez</t>
  </si>
  <si>
    <t>JAC Vergel sector cantarrana</t>
  </si>
  <si>
    <t>Leidy Jhoanna Bolivar Mazo</t>
  </si>
  <si>
    <t>Gloria Cecilia Pino Ballesteros</t>
  </si>
  <si>
    <t>Jadith Sandrey Muñoz Pino</t>
  </si>
  <si>
    <t>Valeria Benjumea Chalarca</t>
  </si>
  <si>
    <t>Erika  Marley Navia Muños</t>
  </si>
  <si>
    <t>JAC Rosaleda</t>
  </si>
  <si>
    <t>JAC Limonar 1</t>
  </si>
  <si>
    <t>John dairon bedoya</t>
  </si>
  <si>
    <t>Alberto javier mosquera cruz</t>
  </si>
  <si>
    <t>Santiago sanchez caro</t>
  </si>
  <si>
    <t>JAC La verde</t>
  </si>
  <si>
    <t>Diana Juliet Vargas</t>
  </si>
  <si>
    <t>JAC Vergel sector centro</t>
  </si>
  <si>
    <t>Estefavia Velez Gómez</t>
  </si>
  <si>
    <t>Claudia Milena Pulgarin Gómez</t>
  </si>
  <si>
    <t>Antonio Gómez Muñoz</t>
  </si>
  <si>
    <t>Robinson Gómez Bedoya</t>
  </si>
  <si>
    <t>Diana Patricia Marín Montoya</t>
  </si>
  <si>
    <t>Ruben Darío Gomez Muñoz</t>
  </si>
  <si>
    <t>Nombre y Apellidos</t>
  </si>
  <si>
    <t>Flores de Oriente</t>
  </si>
  <si>
    <t>Emerson David Guerra Blandon</t>
  </si>
  <si>
    <t>guerrablandondavid@gmail.com</t>
  </si>
  <si>
    <t>Andres Felipe Guerra Blandon</t>
  </si>
  <si>
    <t>andresguerra0407@gmail.com</t>
  </si>
  <si>
    <t>Derly Sofia Caicedo</t>
  </si>
  <si>
    <t>alexandrade1030@gmail.com</t>
  </si>
  <si>
    <t>Ernesto de Jesús Guerra Horta</t>
  </si>
  <si>
    <t>ernestoche1370@gmail.com</t>
  </si>
  <si>
    <t>Estefania Patiño Cardona</t>
  </si>
  <si>
    <t>3156019110/3226046547</t>
  </si>
  <si>
    <t>estefideo19@gmail.com</t>
  </si>
  <si>
    <t>Lesly Dayana Caicedo</t>
  </si>
  <si>
    <t>paulaariza1118@gmail.com</t>
  </si>
  <si>
    <t>Los Vásquez</t>
  </si>
  <si>
    <t>Natalia Andrea Vásquez Vasquez</t>
  </si>
  <si>
    <t>nataliavasquezvasquez@gmail.com</t>
  </si>
  <si>
    <t>Paula Andrea Restrepo</t>
  </si>
  <si>
    <t>301 4437458</t>
  </si>
  <si>
    <t>Yuly Andrea Londoño Ramirez</t>
  </si>
  <si>
    <t>yuland1986@yahoo.es</t>
  </si>
  <si>
    <t>Paula Andrea Agudelo Vanegas</t>
  </si>
  <si>
    <t>vr25milena@gmail.com</t>
  </si>
  <si>
    <t>Blanca Celene Hernández Vasquez</t>
  </si>
  <si>
    <t>celenehernandezvasquez@gmail.com</t>
  </si>
  <si>
    <t>Carolina Vásquez Hernandez</t>
  </si>
  <si>
    <t>carolvasquez@gmail.com</t>
  </si>
  <si>
    <t>Daniela Lopez</t>
  </si>
  <si>
    <t>301 9590244</t>
  </si>
  <si>
    <t>Mazo</t>
  </si>
  <si>
    <t>Diana Lucia Alzate Alzate</t>
  </si>
  <si>
    <t>dialza04@hotmail.com</t>
  </si>
  <si>
    <t>Patricia Atehortua Atehortua</t>
  </si>
  <si>
    <t>patriatehortua417@gmail.com</t>
  </si>
  <si>
    <t>Monica Janeth Alzate Atehortua</t>
  </si>
  <si>
    <t>alzatem74@gmail.com</t>
  </si>
  <si>
    <t>Sandra Patricia Restrepo</t>
  </si>
  <si>
    <t>301 6002982</t>
  </si>
  <si>
    <t>hecdadgigo@hotmail.com</t>
  </si>
  <si>
    <t>Liliana María Vélez Montoya</t>
  </si>
  <si>
    <t>lilivet86@hotmail.com</t>
  </si>
  <si>
    <t>Yulieth Amparo</t>
  </si>
  <si>
    <t>yuliethcheij723@gmail.com</t>
  </si>
  <si>
    <t>Marvey Enoe de Jesús</t>
  </si>
  <si>
    <t>sanchezenoe@gmail.com</t>
  </si>
  <si>
    <t>Emiro Manuel</t>
  </si>
  <si>
    <t>emor360@gmail.com</t>
  </si>
  <si>
    <t>Laura Cheij Narvaez</t>
  </si>
  <si>
    <t>lauravale@gmail.com</t>
  </si>
  <si>
    <t>Luz Mayerli Restrepo Arroyave</t>
  </si>
  <si>
    <t>mayerlisretrepo28@gmial.com</t>
  </si>
  <si>
    <t>Yarel Galeano Tobón</t>
  </si>
  <si>
    <t>galeanoyarel6@gmail.com</t>
  </si>
  <si>
    <t>Acueducto Las Flores</t>
  </si>
  <si>
    <t>Eliana Marcela Londoño Soto</t>
  </si>
  <si>
    <t>elilondo.128@gmail.com</t>
  </si>
  <si>
    <t>Piedra Gorda</t>
  </si>
  <si>
    <t>Brayan Rodriguez Alzate</t>
  </si>
  <si>
    <t>brayanalzate2014@gmail.com</t>
  </si>
  <si>
    <t>Gonzalo Alberto Castillo Rodriguez</t>
  </si>
  <si>
    <t>catillorodriguezga@gmail.com</t>
  </si>
  <si>
    <t>Jaime Ernesto Grajales Soto</t>
  </si>
  <si>
    <t>Nelson Enrique Alzate Vanegas</t>
  </si>
  <si>
    <t>nelsonalzatevanegas05@gmail.com</t>
  </si>
  <si>
    <t>Martha Isabel Soto Londoño</t>
  </si>
  <si>
    <t>sotolisabel@gmail.com</t>
  </si>
  <si>
    <t>Acueducto Mazo</t>
  </si>
  <si>
    <t>Duvan Alexis Londoño Sanchez</t>
  </si>
  <si>
    <t>londonosanchezduvanalexis@gmail.com</t>
  </si>
  <si>
    <t>Roman Vásquez Manco</t>
  </si>
  <si>
    <t>romanvasquez9@gmail.com</t>
  </si>
  <si>
    <t>Luz Mary Valencia Bedoya</t>
  </si>
  <si>
    <t>luzmava35@gmail.com</t>
  </si>
  <si>
    <t>Maricela Grajales</t>
  </si>
  <si>
    <t>maricelagrajalesatehortua84@gmail.com</t>
  </si>
  <si>
    <t>John Jairo Rojas</t>
  </si>
  <si>
    <t>bh@gmail.com</t>
  </si>
  <si>
    <t>Adriana Blandon</t>
  </si>
  <si>
    <t>truinfadoraluz@gmail.com</t>
  </si>
  <si>
    <t>Acueducto Media Luna</t>
  </si>
  <si>
    <t>jairovanegas08@gmail.com</t>
  </si>
  <si>
    <t>Media Luna</t>
  </si>
  <si>
    <t>Carlos Andres Gallego Ramirez</t>
  </si>
  <si>
    <t>acmedialuna@outlook.es</t>
  </si>
  <si>
    <t>Gabriel Jaime Hernandez Grajales</t>
  </si>
  <si>
    <t>Dora Luz Martinez Tejada</t>
  </si>
  <si>
    <t>Sergio Arley Arenas Buitrago</t>
  </si>
  <si>
    <t>Luz Elena Gómez Marulanda</t>
  </si>
  <si>
    <t>luzgomez40@gmail.com</t>
  </si>
  <si>
    <t>Acueducto Piedras Blancas</t>
  </si>
  <si>
    <t>Jesús Farley Molina Alzate</t>
  </si>
  <si>
    <t>jefama54@gmail.com</t>
  </si>
  <si>
    <t>Juan Esteban Monsalve Vásquez</t>
  </si>
  <si>
    <t>monsalvevasquez2903@gmail.com</t>
  </si>
  <si>
    <t>Eduardo Antonio Grajales Alzate</t>
  </si>
  <si>
    <t>eduardograjales2010@gmail.com</t>
  </si>
  <si>
    <t>Juan Fernando Rodriguez Grajales</t>
  </si>
  <si>
    <t>juanrod1912@outlook.com</t>
  </si>
  <si>
    <t>Luis Mauricio Atehortua Castañeda</t>
  </si>
  <si>
    <t>mauricioatehortua8@gmail.com</t>
  </si>
  <si>
    <t>Maria Paulina Vanegas Gallego</t>
  </si>
  <si>
    <t>paulinavanegas23@gmail.com</t>
  </si>
  <si>
    <t>Acueducto San Pedro</t>
  </si>
  <si>
    <t>Viviana Andrea Arboleda Ochoa</t>
  </si>
  <si>
    <t>llanoplan@gmail.com</t>
  </si>
  <si>
    <t>El Llano</t>
  </si>
  <si>
    <t>Maryori Rios Grajales</t>
  </si>
  <si>
    <t>maryo.rios.g@gmail.com</t>
  </si>
  <si>
    <t>Yhon Jaime Atehortua Patiño</t>
  </si>
  <si>
    <t>yjap222@yahoo.com</t>
  </si>
  <si>
    <t>Guillermo Julio Hérnandez Navas</t>
  </si>
  <si>
    <t>Yerly Alexandra Carvajal</t>
  </si>
  <si>
    <t>Angela Maria Usuga Pelaez</t>
  </si>
  <si>
    <t>Cosse</t>
  </si>
  <si>
    <t>María Fernanda Patiño Grajales</t>
  </si>
  <si>
    <t>Ccomercializacion@silleteros.com</t>
  </si>
  <si>
    <t>Yisel Camila Aguilar Calvo</t>
  </si>
  <si>
    <t>tiendapueblitopaisa@silleteros.com</t>
  </si>
  <si>
    <t>Daniel Jurado Tangarife</t>
  </si>
  <si>
    <t>danjurado1245@gmail.com</t>
  </si>
  <si>
    <t>José Efrain Zapata Alzate</t>
  </si>
  <si>
    <t>NO TIENE</t>
  </si>
  <si>
    <t>Juliana María Rojas Londoño</t>
  </si>
  <si>
    <t>proyectos@silleteros.com</t>
  </si>
  <si>
    <t>Jesus Eduardo Vasquez Grajales</t>
  </si>
  <si>
    <t>Acueducto Multiveredal</t>
  </si>
  <si>
    <t>acuesanta@gmail.com</t>
  </si>
  <si>
    <t>Robinson Arboleda Ochoa</t>
  </si>
  <si>
    <t>robinar2010@gmail.com</t>
  </si>
  <si>
    <t>Maria Zohe Jurado Tangarife</t>
  </si>
  <si>
    <t>santadulceria2016@gmail.com</t>
  </si>
  <si>
    <t>Fabián Grajales Gallego</t>
  </si>
  <si>
    <t>Hector Evelio Atehotua</t>
  </si>
  <si>
    <t>bgevelioath@gmail.com</t>
  </si>
  <si>
    <t>Mariana Correa Torres</t>
  </si>
  <si>
    <t>Gabriel  Jaime Monsalve Ríos</t>
  </si>
  <si>
    <t>Juan Pablo Villa Rendón</t>
  </si>
  <si>
    <t>Los Ángeles</t>
  </si>
  <si>
    <t>Bernabe de Jesús López Sierra</t>
  </si>
  <si>
    <t>Jairo León Vanegas Vásquez</t>
  </si>
  <si>
    <t>Zeneth Zapata Bedoya</t>
  </si>
  <si>
    <t>Julián David Sucerquia Giraldo</t>
  </si>
  <si>
    <t>JAC Vergel Sector Cantarrana</t>
  </si>
  <si>
    <t>León Darío Vanegas</t>
  </si>
  <si>
    <t>Jorge Andrés López Suarez</t>
  </si>
  <si>
    <t>Luz Marleny Urán Pérez</t>
  </si>
  <si>
    <t>JAC El Pinal</t>
  </si>
  <si>
    <t>Nombre de la Comuna</t>
  </si>
  <si>
    <t># Comuna</t>
  </si>
  <si>
    <t>Popular</t>
  </si>
  <si>
    <t>Santa Cruz</t>
  </si>
  <si>
    <t>Manrique</t>
  </si>
  <si>
    <t>Aranjuez</t>
  </si>
  <si>
    <t>Castilla</t>
  </si>
  <si>
    <t>12 de Octubre</t>
  </si>
  <si>
    <t>Robledo</t>
  </si>
  <si>
    <t>Villa Hermosa</t>
  </si>
  <si>
    <t>La Candelaria</t>
  </si>
  <si>
    <t>Laureles Estadio</t>
  </si>
  <si>
    <t>La América</t>
  </si>
  <si>
    <t>San Javier</t>
  </si>
  <si>
    <t>El Poblado</t>
  </si>
  <si>
    <t>Belén</t>
  </si>
  <si>
    <t>Corregimiento de San Cristóbal</t>
  </si>
  <si>
    <t>Corregimiento de Altavista</t>
  </si>
  <si>
    <t>Corregimiento de San Antonio de Prado</t>
  </si>
  <si>
    <t>Corregimiento de Santa Elena</t>
  </si>
  <si>
    <t># Comités</t>
  </si>
  <si>
    <t># Comisiones</t>
  </si>
  <si>
    <t># de Voluntarios Comité</t>
  </si>
  <si>
    <t>Total de Comités y Comisiones</t>
  </si>
  <si>
    <t>Total de Voluntarios</t>
  </si>
  <si>
    <t># de Voluntarios Comisiones</t>
  </si>
  <si>
    <t>Comisión / Comité</t>
  </si>
  <si>
    <t>Otro</t>
  </si>
  <si>
    <t>B-</t>
  </si>
  <si>
    <t>AB-</t>
  </si>
  <si>
    <t>No sabe</t>
  </si>
  <si>
    <t>Celular</t>
  </si>
  <si>
    <t>Fecha de ingreso al CCGRD</t>
  </si>
  <si>
    <t>Santo Domingo Savio Nº 1</t>
  </si>
  <si>
    <t>Santo Domingo Sabio Nº 2</t>
  </si>
  <si>
    <t>Granizal</t>
  </si>
  <si>
    <t>Moscú Nº 2</t>
  </si>
  <si>
    <t>Villa Guadalupe</t>
  </si>
  <si>
    <t>San Pablo</t>
  </si>
  <si>
    <t>Aldea Pablo VI</t>
  </si>
  <si>
    <t>La Esperanza Nº 2</t>
  </si>
  <si>
    <t>El Compromiso</t>
  </si>
  <si>
    <t>La Avanzada</t>
  </si>
  <si>
    <t>Carpinelo</t>
  </si>
  <si>
    <t>La Isla</t>
  </si>
  <si>
    <t>El Playón de Los Comuneros</t>
  </si>
  <si>
    <t>Pablo VI</t>
  </si>
  <si>
    <t>La Frontera</t>
  </si>
  <si>
    <t>La Francia</t>
  </si>
  <si>
    <t>Andalucía</t>
  </si>
  <si>
    <t>Villa del Socorro</t>
  </si>
  <si>
    <t>Villa Niza</t>
  </si>
  <si>
    <t>Moscú Nº 1</t>
  </si>
  <si>
    <t>La Rosa</t>
  </si>
  <si>
    <t>La Salle</t>
  </si>
  <si>
    <t>Las Granjas</t>
  </si>
  <si>
    <t>Campo Valdes Nº 2</t>
  </si>
  <si>
    <t>El Pomar</t>
  </si>
  <si>
    <t>Manrique Central No. 2</t>
  </si>
  <si>
    <t>Manrique Oriental</t>
  </si>
  <si>
    <t>Versalles Nº 1</t>
  </si>
  <si>
    <t>Versalles Nº 2</t>
  </si>
  <si>
    <t>Oriente</t>
  </si>
  <si>
    <t>Maria Cano – Carambolas</t>
  </si>
  <si>
    <t>San José La Cima Nº 1</t>
  </si>
  <si>
    <t>San José La Cima Nº 2</t>
  </si>
  <si>
    <t>Berlín</t>
  </si>
  <si>
    <t>Bermejal – Los Álamos</t>
  </si>
  <si>
    <t>Moravia</t>
  </si>
  <si>
    <t>San Pedro</t>
  </si>
  <si>
    <t>Manrique Central Nº 1</t>
  </si>
  <si>
    <t>Campo Valdes Nº 1</t>
  </si>
  <si>
    <t>Las Esmeraldas</t>
  </si>
  <si>
    <t>La Piñuela</t>
  </si>
  <si>
    <t>Toscana</t>
  </si>
  <si>
    <t>Las Brisas</t>
  </si>
  <si>
    <t>Florencia</t>
  </si>
  <si>
    <t>Tejelo</t>
  </si>
  <si>
    <t>Boyacá</t>
  </si>
  <si>
    <t>Héctor Abad Gómez</t>
  </si>
  <si>
    <t>Belalcazar</t>
  </si>
  <si>
    <t>Girardot</t>
  </si>
  <si>
    <t>Tricentenario</t>
  </si>
  <si>
    <t>Francisco Antonio Zea</t>
  </si>
  <si>
    <t>Alfonso López</t>
  </si>
  <si>
    <t>Caribe</t>
  </si>
  <si>
    <t>El Progreso</t>
  </si>
  <si>
    <t>Santander</t>
  </si>
  <si>
    <t>Doce de Octubre Nº 1</t>
  </si>
  <si>
    <t>Doce de Octubre Nº 2</t>
  </si>
  <si>
    <t>La Esperanza</t>
  </si>
  <si>
    <t>San Martín de Porres</t>
  </si>
  <si>
    <t>Kennedy</t>
  </si>
  <si>
    <t>Picacho</t>
  </si>
  <si>
    <t>Picachito</t>
  </si>
  <si>
    <t>Mirador del Doce</t>
  </si>
  <si>
    <t>Progreso Nº 2</t>
  </si>
  <si>
    <t>El Triunfo</t>
  </si>
  <si>
    <t>Cerro El Volador</t>
  </si>
  <si>
    <t>Barrio Facultad de Minas Universidad Nacional</t>
  </si>
  <si>
    <t>San Germán</t>
  </si>
  <si>
    <t>La Pilarica</t>
  </si>
  <si>
    <t>Bosques de San Pablo</t>
  </si>
  <si>
    <t>Altamira</t>
  </si>
  <si>
    <t>Córdoba</t>
  </si>
  <si>
    <t>López de Mesa</t>
  </si>
  <si>
    <t>El Diamante</t>
  </si>
  <si>
    <t>Aures Nº 1</t>
  </si>
  <si>
    <t>Aures Nº 2</t>
  </si>
  <si>
    <t>Bello Horizonte</t>
  </si>
  <si>
    <t>Villa Flora</t>
  </si>
  <si>
    <t>Palenque</t>
  </si>
  <si>
    <t>Fuente Clara</t>
  </si>
  <si>
    <t>Santa Margarita</t>
  </si>
  <si>
    <t>Olaya Herrera</t>
  </si>
  <si>
    <t>Pajarito</t>
  </si>
  <si>
    <t>Monteclaro</t>
  </si>
  <si>
    <t>Nueva Villa de La Iguaná</t>
  </si>
  <si>
    <t>La Mansión</t>
  </si>
  <si>
    <t>San Miguel</t>
  </si>
  <si>
    <t>Batallón Girardot</t>
  </si>
  <si>
    <t>Enciso</t>
  </si>
  <si>
    <t>Sucre</t>
  </si>
  <si>
    <t>Trece de Noviembre</t>
  </si>
  <si>
    <t>San Antonio</t>
  </si>
  <si>
    <t>Las Estancias</t>
  </si>
  <si>
    <t>Villa Turbay</t>
  </si>
  <si>
    <t>La Sierra (Santa Lucía – Las Estancias)</t>
  </si>
  <si>
    <t>Villa Lilliam</t>
  </si>
  <si>
    <t>Juan Pablo II</t>
  </si>
  <si>
    <t>Bombona Nº 2</t>
  </si>
  <si>
    <t>Los Cerros El Vergel</t>
  </si>
  <si>
    <t>Alejandro Echavarría</t>
  </si>
  <si>
    <t>Barrio Caicedo</t>
  </si>
  <si>
    <t>Miraflores</t>
  </si>
  <si>
    <t>Cataluña</t>
  </si>
  <si>
    <t>La Milagrosa</t>
  </si>
  <si>
    <t>Gerona</t>
  </si>
  <si>
    <t>Asomadera Nº 1</t>
  </si>
  <si>
    <t>Asomadera Nº 2</t>
  </si>
  <si>
    <t>Asomadera Nº 3</t>
  </si>
  <si>
    <t>Ocho de Marzo</t>
  </si>
  <si>
    <t>Jesús Nazareno</t>
  </si>
  <si>
    <t>El Chagualo</t>
  </si>
  <si>
    <t>Estación Villa</t>
  </si>
  <si>
    <t>San Benito</t>
  </si>
  <si>
    <t>Guayaquil</t>
  </si>
  <si>
    <t>Corazón de Jesús</t>
  </si>
  <si>
    <t>Calle Nueva</t>
  </si>
  <si>
    <t>Perpetuo Socorro</t>
  </si>
  <si>
    <t>Barrio Colón</t>
  </si>
  <si>
    <t>Las Palmas</t>
  </si>
  <si>
    <t>Bomboná Nº 1</t>
  </si>
  <si>
    <t>Villa Nueva</t>
  </si>
  <si>
    <t>San Diego</t>
  </si>
  <si>
    <t>Hospital San Vicente de Paúl</t>
  </si>
  <si>
    <t>La Alpujarra</t>
  </si>
  <si>
    <t>Centro Administrativo la Alpujarra</t>
  </si>
  <si>
    <t>Parque Norte</t>
  </si>
  <si>
    <t>Jardín Botánico</t>
  </si>
  <si>
    <t>Universidad de Antioquia</t>
  </si>
  <si>
    <t>Plaza de Ferias</t>
  </si>
  <si>
    <t>Oleoducto</t>
  </si>
  <si>
    <t>Cementerio Universal</t>
  </si>
  <si>
    <t>Terminal de Transporte</t>
  </si>
  <si>
    <t>Universidad Nacional</t>
  </si>
  <si>
    <t>Ecoparque Cerro El Volador</t>
  </si>
  <si>
    <t>Ciudadela Robledo UdeA</t>
  </si>
  <si>
    <t>El Cucaracho</t>
  </si>
  <si>
    <t>Carlos E. Restrepo</t>
  </si>
  <si>
    <t>Suramericana</t>
  </si>
  <si>
    <t>Naranjal</t>
  </si>
  <si>
    <t>San Joaquín</t>
  </si>
  <si>
    <t>Los Conquistadores</t>
  </si>
  <si>
    <t>Bolivariana</t>
  </si>
  <si>
    <t>U.P.B</t>
  </si>
  <si>
    <t>Laureles</t>
  </si>
  <si>
    <t>Las Acacias</t>
  </si>
  <si>
    <t>La Castellana</t>
  </si>
  <si>
    <t>Lorena</t>
  </si>
  <si>
    <t>El Velódromo</t>
  </si>
  <si>
    <t>Estadio</t>
  </si>
  <si>
    <t>Los Colores</t>
  </si>
  <si>
    <t>Cuarta Brigada</t>
  </si>
  <si>
    <t>Florida Nueva</t>
  </si>
  <si>
    <t>Batallón Cuarta Brigada</t>
  </si>
  <si>
    <t>Unidad Deportiva Atanasio Girardot</t>
  </si>
  <si>
    <t>Ferrini</t>
  </si>
  <si>
    <t>Calasanz</t>
  </si>
  <si>
    <t>Los Pinos</t>
  </si>
  <si>
    <t>La Floresta</t>
  </si>
  <si>
    <t>Santa Lucia</t>
  </si>
  <si>
    <t>El Danubio</t>
  </si>
  <si>
    <t>Campo Alegre</t>
  </si>
  <si>
    <t>Simón Bolívar</t>
  </si>
  <si>
    <t>Santa Teresita</t>
  </si>
  <si>
    <t>Calasanz Parte Alta</t>
  </si>
  <si>
    <t>El Pesebre</t>
  </si>
  <si>
    <t>Blanquizal</t>
  </si>
  <si>
    <t>Santa Rosa de Lima</t>
  </si>
  <si>
    <t>Metropolitano</t>
  </si>
  <si>
    <t>Juan XIII – La Quiebra</t>
  </si>
  <si>
    <t>Los Alcázares</t>
  </si>
  <si>
    <t>La Pradera</t>
  </si>
  <si>
    <t>San Javier Nº 1</t>
  </si>
  <si>
    <t>San Javier Nº 2</t>
  </si>
  <si>
    <t>El Socorro</t>
  </si>
  <si>
    <t>Antonio Nariño</t>
  </si>
  <si>
    <t>Belencito</t>
  </si>
  <si>
    <t>Veinte de Julio</t>
  </si>
  <si>
    <t>Eduardo Santos</t>
  </si>
  <si>
    <t>Las Independencias</t>
  </si>
  <si>
    <t>Nuevos Conquistadores</t>
  </si>
  <si>
    <t>El Corazón</t>
  </si>
  <si>
    <t>Barrio Colombia</t>
  </si>
  <si>
    <t>Villa Carlota</t>
  </si>
  <si>
    <t>Castropol</t>
  </si>
  <si>
    <t>Manila</t>
  </si>
  <si>
    <t>Las Lomas Nº 1</t>
  </si>
  <si>
    <t>Las Lomas Nº 2</t>
  </si>
  <si>
    <t xml:space="preserve"> Lalinde</t>
  </si>
  <si>
    <t>Altos del Poblado</t>
  </si>
  <si>
    <t>Astorga</t>
  </si>
  <si>
    <t>Patio Bonito</t>
  </si>
  <si>
    <t>La Florida</t>
  </si>
  <si>
    <t>El Tesoro</t>
  </si>
  <si>
    <t>Los Naranjos</t>
  </si>
  <si>
    <t xml:space="preserve"> Alejandría</t>
  </si>
  <si>
    <t>La Aguacatala</t>
  </si>
  <si>
    <t>Los Balsos Nº 1</t>
  </si>
  <si>
    <t>Los Balsos Nº 2</t>
  </si>
  <si>
    <t>El Castillo</t>
  </si>
  <si>
    <t>San Lucas</t>
  </si>
  <si>
    <t>El Diamante Nº 2</t>
  </si>
  <si>
    <t>Santa María de Los Ángeles</t>
  </si>
  <si>
    <t>Tenche</t>
  </si>
  <si>
    <t>Santa Fé</t>
  </si>
  <si>
    <t>Parque Juan Pablo II</t>
  </si>
  <si>
    <t>Campo Amor</t>
  </si>
  <si>
    <t>Cerro Nutibara</t>
  </si>
  <si>
    <t>Parque Cerro Nutibara</t>
  </si>
  <si>
    <t>Fátima</t>
  </si>
  <si>
    <t>Rosales</t>
  </si>
  <si>
    <t>El Nogal – Los Almendros</t>
  </si>
  <si>
    <t>Nueva Villa de Aburrá</t>
  </si>
  <si>
    <t>Miravalle</t>
  </si>
  <si>
    <t>Los Alpes</t>
  </si>
  <si>
    <t>Las Mercedes</t>
  </si>
  <si>
    <t>Las Violetas</t>
  </si>
  <si>
    <t>Granada</t>
  </si>
  <si>
    <t>San Bernardo</t>
  </si>
  <si>
    <t>Altavista</t>
  </si>
  <si>
    <t>La Gloria</t>
  </si>
  <si>
    <t>Las Playas</t>
  </si>
  <si>
    <t>La Loma de Los Bernal</t>
  </si>
  <si>
    <t>Diego Echevarria</t>
  </si>
  <si>
    <t>La Mota</t>
  </si>
  <si>
    <t>El Rincón</t>
  </si>
  <si>
    <t>La Hondonada</t>
  </si>
  <si>
    <t>Urquitá</t>
  </si>
  <si>
    <t>Potrera Misenegra</t>
  </si>
  <si>
    <t>La Sucia</t>
  </si>
  <si>
    <t>La Aldea</t>
  </si>
  <si>
    <t>La Volcana Guayabal</t>
  </si>
  <si>
    <t>La Frisola</t>
  </si>
  <si>
    <t>La Suiza</t>
  </si>
  <si>
    <t>Boquerón</t>
  </si>
  <si>
    <t>San José de la Montaña</t>
  </si>
  <si>
    <t>La Ilusión</t>
  </si>
  <si>
    <t>El Carmelo</t>
  </si>
  <si>
    <t>El Picacho</t>
  </si>
  <si>
    <t>Nuevo Occidente</t>
  </si>
  <si>
    <t>Pedregal Alto</t>
  </si>
  <si>
    <t>Travesias</t>
  </si>
  <si>
    <t>La Cuchilla</t>
  </si>
  <si>
    <t>El Uvito</t>
  </si>
  <si>
    <t>La Loma</t>
  </si>
  <si>
    <t>El Patio</t>
  </si>
  <si>
    <t>El Yolombo</t>
  </si>
  <si>
    <t>Corregimiento de San Sebastián de Palmitas</t>
  </si>
  <si>
    <t>El Corazón - El Morro</t>
  </si>
  <si>
    <t>Altavista Central</t>
  </si>
  <si>
    <t>Buga Patio Bonito</t>
  </si>
  <si>
    <t>San José del Manzanillo</t>
  </si>
  <si>
    <t>El Astillero</t>
  </si>
  <si>
    <t>Yarumalito</t>
  </si>
  <si>
    <t>La Verde</t>
  </si>
  <si>
    <t>Montañita</t>
  </si>
  <si>
    <t>Potrerito</t>
  </si>
  <si>
    <t>Área de Expansión San Antonio de Prado</t>
  </si>
  <si>
    <t>San José</t>
  </si>
  <si>
    <t>Piedras Blancas Matasano</t>
  </si>
  <si>
    <t>Barro Blanco</t>
  </si>
  <si>
    <t>El Placer</t>
  </si>
  <si>
    <t>El Cerrro</t>
  </si>
  <si>
    <t>El Plan</t>
  </si>
  <si>
    <t>Nombre Comuna</t>
  </si>
  <si>
    <t xml:space="preserve">Juan Camilo Ospina Carvajal </t>
  </si>
  <si>
    <t>Katherine Andrea Duque</t>
  </si>
  <si>
    <t>Mariari Andrea Vanegas Durango</t>
  </si>
  <si>
    <t>Maria Camila Osorio Quintero</t>
  </si>
  <si>
    <t>Luisa Maria Botero Pareja</t>
  </si>
  <si>
    <r>
      <rPr>
        <u/>
        <sz val="11"/>
        <rFont val="Calibri"/>
        <family val="2"/>
        <scheme val="minor"/>
      </rPr>
      <t>luzdycar@gmail.com</t>
    </r>
  </si>
  <si>
    <r>
      <rPr>
        <u/>
        <sz val="11"/>
        <rFont val="Calibri"/>
        <family val="2"/>
        <scheme val="minor"/>
      </rPr>
      <t>isasamiguel898@gmail.com</t>
    </r>
  </si>
  <si>
    <r>
      <rPr>
        <u/>
        <sz val="11"/>
        <rFont val="Calibri"/>
        <family val="2"/>
        <scheme val="minor"/>
      </rPr>
      <t>carolinamoreno101503@gmail.com</t>
    </r>
  </si>
  <si>
    <r>
      <rPr>
        <u/>
        <sz val="11"/>
        <rFont val="Calibri"/>
        <family val="2"/>
        <scheme val="minor"/>
      </rPr>
      <t>yeisonvelez@gmai.com</t>
    </r>
  </si>
  <si>
    <r>
      <rPr>
        <u/>
        <sz val="11"/>
        <rFont val="Calibri"/>
        <family val="2"/>
        <scheme val="minor"/>
      </rPr>
      <t>castanedaalex908@gmail.com</t>
    </r>
  </si>
  <si>
    <r>
      <rPr>
        <u/>
        <sz val="11"/>
        <rFont val="Calibri"/>
        <family val="2"/>
        <scheme val="minor"/>
      </rPr>
      <t>lizethlondonotorres@gmail.com</t>
    </r>
  </si>
  <si>
    <r>
      <rPr>
        <u/>
        <sz val="11"/>
        <rFont val="Calibri"/>
        <family val="2"/>
        <scheme val="minor"/>
      </rPr>
      <t>andrsleonvallejo@gmail.com</t>
    </r>
  </si>
  <si>
    <r>
      <rPr>
        <u/>
        <sz val="11"/>
        <rFont val="Calibri"/>
        <family val="2"/>
        <scheme val="minor"/>
      </rPr>
      <t>zelmabuena@outlook.es</t>
    </r>
  </si>
  <si>
    <r>
      <rPr>
        <u/>
        <sz val="11"/>
        <rFont val="Calibri"/>
        <family val="2"/>
        <scheme val="minor"/>
      </rPr>
      <t>saralopezgonzalez9@gmail.com</t>
    </r>
  </si>
  <si>
    <r>
      <rPr>
        <u/>
        <sz val="11"/>
        <rFont val="Calibri"/>
        <family val="2"/>
        <scheme val="minor"/>
      </rPr>
      <t>sariscarvajala@gmail.com</t>
    </r>
  </si>
  <si>
    <r>
      <rPr>
        <u/>
        <sz val="11"/>
        <rFont val="Calibri"/>
        <family val="2"/>
        <scheme val="minor"/>
      </rPr>
      <t>alvarovillegasg@gmail.com</t>
    </r>
  </si>
  <si>
    <r>
      <rPr>
        <u/>
        <sz val="11"/>
        <rFont val="Calibri"/>
        <family val="2"/>
        <scheme val="minor"/>
      </rPr>
      <t>papeleriaelcubo98@gmail.com</t>
    </r>
  </si>
  <si>
    <r>
      <rPr>
        <u/>
        <sz val="11"/>
        <rFont val="Calibri"/>
        <family val="2"/>
        <scheme val="minor"/>
      </rPr>
      <t>andrevanegas781@gmail.com</t>
    </r>
  </si>
  <si>
    <r>
      <rPr>
        <u/>
        <sz val="11"/>
        <rFont val="Calibri"/>
        <family val="2"/>
        <scheme val="minor"/>
      </rPr>
      <t>osorioquinteromariacamila10@gmai.com</t>
    </r>
  </si>
  <si>
    <r>
      <rPr>
        <u/>
        <sz val="11"/>
        <rFont val="Calibri"/>
        <family val="2"/>
        <scheme val="minor"/>
      </rPr>
      <t>luisam102309@gmail.com</t>
    </r>
  </si>
  <si>
    <r>
      <rPr>
        <u/>
        <sz val="11"/>
        <rFont val="Calibri"/>
        <family val="2"/>
        <scheme val="minor"/>
      </rPr>
      <t>juanda230811@gmail.com</t>
    </r>
  </si>
  <si>
    <r>
      <rPr>
        <u/>
        <sz val="11"/>
        <rFont val="Calibri"/>
        <family val="2"/>
        <scheme val="minor"/>
      </rPr>
      <t>melannygiraldo2810@gmil.com</t>
    </r>
  </si>
  <si>
    <r>
      <rPr>
        <u/>
        <sz val="11"/>
        <rFont val="Calibri"/>
        <family val="2"/>
        <scheme val="minor"/>
      </rPr>
      <t>sebatianbenjumea@gmail.com</t>
    </r>
  </si>
  <si>
    <t>NO HAY INFO</t>
  </si>
  <si>
    <t>00000</t>
  </si>
  <si>
    <t>00001</t>
  </si>
  <si>
    <t>Compensar</t>
  </si>
  <si>
    <t>Famisanar</t>
  </si>
  <si>
    <t>Capital Salud</t>
  </si>
  <si>
    <t>Mutual Ser</t>
  </si>
  <si>
    <t>Emssanar</t>
  </si>
  <si>
    <t>Asmet Salud</t>
  </si>
  <si>
    <t>Comfenalco Valle</t>
  </si>
  <si>
    <t>Servicio Occidental de Salud (SOS)</t>
  </si>
  <si>
    <t>EPS Familiar de Colombia</t>
  </si>
  <si>
    <t>Cajacopi Atlántico</t>
  </si>
  <si>
    <t>Comfaoriente</t>
  </si>
  <si>
    <t>Comfachocó</t>
  </si>
  <si>
    <t>Capresoca</t>
  </si>
  <si>
    <t>Salud Bolívar</t>
  </si>
  <si>
    <t>Aliansalud</t>
  </si>
  <si>
    <t>Salud Mía</t>
  </si>
  <si>
    <t>San Isidro</t>
  </si>
  <si>
    <t>Sanidad Policía Nacional (DISAN)</t>
  </si>
  <si>
    <t>Sanidad Fuerzas Militares</t>
  </si>
  <si>
    <t>FOMAG (magisterio / profesores)</t>
  </si>
  <si>
    <r>
      <rPr>
        <u/>
        <sz val="11"/>
        <color rgb="FF1155CC"/>
        <rFont val="Calibri"/>
        <family val="2"/>
        <scheme val="minor"/>
      </rPr>
      <t>josemeneses@gmail.com</t>
    </r>
  </si>
  <si>
    <r>
      <rPr>
        <u/>
        <sz val="11"/>
        <color rgb="FF1155CC"/>
        <rFont val="Calibri"/>
        <family val="2"/>
        <scheme val="minor"/>
      </rPr>
      <t>rodasoscarlxmk@gmail.com</t>
    </r>
  </si>
  <si>
    <r>
      <rPr>
        <u/>
        <sz val="11"/>
        <color rgb="FF1155CC"/>
        <rFont val="Calibri"/>
        <family val="2"/>
        <scheme val="minor"/>
      </rPr>
      <t>solucionesindustrialescc@gmail.com</t>
    </r>
  </si>
  <si>
    <r>
      <rPr>
        <u/>
        <sz val="11"/>
        <color rgb="FF1155CC"/>
        <rFont val="Calibri"/>
        <family val="2"/>
        <scheme val="minor"/>
      </rPr>
      <t>sernazapata041@gmail.com</t>
    </r>
  </si>
  <si>
    <r>
      <rPr>
        <u/>
        <sz val="11"/>
        <color rgb="FF1155CC"/>
        <rFont val="Calibri"/>
        <family val="2"/>
        <scheme val="minor"/>
      </rPr>
      <t>Jorgearango1966@homail.com</t>
    </r>
  </si>
  <si>
    <r>
      <rPr>
        <u/>
        <sz val="11"/>
        <color rgb="FF1155CC"/>
        <rFont val="Calibri"/>
        <family val="2"/>
        <scheme val="minor"/>
      </rPr>
      <t>leovanegas1979@gmail.com</t>
    </r>
  </si>
  <si>
    <r>
      <rPr>
        <u/>
        <sz val="11"/>
        <color rgb="FF1155CC"/>
        <rFont val="Calibri"/>
        <family val="2"/>
        <scheme val="minor"/>
      </rPr>
      <t>marulanda30@gmail.com</t>
    </r>
  </si>
  <si>
    <r>
      <rPr>
        <u/>
        <sz val="11"/>
        <color rgb="FF1155CC"/>
        <rFont val="Calibri"/>
        <family val="2"/>
        <scheme val="minor"/>
      </rPr>
      <t>chinchexz@gmail.com</t>
    </r>
  </si>
  <si>
    <r>
      <rPr>
        <u/>
        <sz val="11"/>
        <color rgb="FF1155CC"/>
        <rFont val="Calibri"/>
        <family val="2"/>
        <scheme val="minor"/>
      </rPr>
      <t>armandomunoz639@gmail.com</t>
    </r>
  </si>
  <si>
    <r>
      <rPr>
        <u/>
        <sz val="11"/>
        <color rgb="FF1155CC"/>
        <rFont val="Calibri"/>
        <family val="2"/>
        <scheme val="minor"/>
      </rPr>
      <t>artevivact@gmail.com</t>
    </r>
  </si>
  <si>
    <r>
      <rPr>
        <u/>
        <sz val="11"/>
        <color rgb="FF1155CC"/>
        <rFont val="Calibri"/>
        <family val="2"/>
        <scheme val="minor"/>
      </rPr>
      <t>estrellasdelmilenio@hotmail.com</t>
    </r>
  </si>
  <si>
    <r>
      <rPr>
        <u/>
        <sz val="11"/>
        <color rgb="FF1155CC"/>
        <rFont val="Calibri"/>
        <family val="2"/>
        <scheme val="minor"/>
      </rPr>
      <t>jorlopezzuarez@gmail.com</t>
    </r>
  </si>
  <si>
    <r>
      <rPr>
        <u/>
        <sz val="11"/>
        <color rgb="FF1155CC"/>
        <rFont val="Calibri"/>
        <family val="2"/>
        <scheme val="minor"/>
      </rPr>
      <t>danielbeoya1903@gmail.com</t>
    </r>
  </si>
  <si>
    <r>
      <rPr>
        <u/>
        <sz val="11"/>
        <color rgb="FF1155CC"/>
        <rFont val="Calibri"/>
        <family val="2"/>
        <scheme val="minor"/>
      </rPr>
      <t>FRAK.17.MV.@HOTMA.COM</t>
    </r>
  </si>
  <si>
    <r>
      <rPr>
        <u/>
        <sz val="11"/>
        <color rgb="FF1155CC"/>
        <rFont val="Calibri"/>
        <family val="2"/>
        <scheme val="minor"/>
      </rPr>
      <t>ERNEYCHAVARRIA.MGVC@GMAIL.COM</t>
    </r>
  </si>
  <si>
    <r>
      <rPr>
        <u/>
        <sz val="11"/>
        <color rgb="FF1155CC"/>
        <rFont val="Calibri"/>
        <family val="2"/>
        <scheme val="minor"/>
      </rPr>
      <t>Edwinalexander0613@gmail.com</t>
    </r>
  </si>
  <si>
    <r>
      <rPr>
        <u/>
        <sz val="11"/>
        <color rgb="FF1155CC"/>
        <rFont val="Calibri"/>
        <family val="2"/>
        <scheme val="minor"/>
      </rPr>
      <t>katherine@hotmail.com</t>
    </r>
  </si>
  <si>
    <t>Pinar del Cerro</t>
  </si>
  <si>
    <t>La Primavera</t>
  </si>
  <si>
    <t>Villa Liliam PA</t>
  </si>
  <si>
    <t>Villa Liliam Parte Baja</t>
  </si>
  <si>
    <t>Unión de Cristo</t>
  </si>
  <si>
    <t>Esfuerzos de Paz 2</t>
  </si>
  <si>
    <t>El Faro</t>
  </si>
  <si>
    <t>Altos de la Torre</t>
  </si>
  <si>
    <t>Organización Social Mestizas</t>
  </si>
  <si>
    <t>13 de Noviembre</t>
  </si>
  <si>
    <t>Comision Buenavista</t>
  </si>
  <si>
    <t>Rubiel Dario Jimenez</t>
  </si>
  <si>
    <t>Sebastian Velasquez Rojas</t>
  </si>
  <si>
    <r>
      <rPr>
        <u/>
        <sz val="11"/>
        <color rgb="FF1155CC"/>
        <rFont val="Calibri"/>
        <family val="2"/>
        <scheme val="minor"/>
      </rPr>
      <t>dianacadavid290@gmail.com</t>
    </r>
  </si>
  <si>
    <r>
      <rPr>
        <u/>
        <sz val="11"/>
        <color rgb="FF1155CC"/>
        <rFont val="Calibri"/>
        <family val="2"/>
        <scheme val="minor"/>
      </rPr>
      <t>sandra-ramirez70@hotmail.com</t>
    </r>
  </si>
  <si>
    <r>
      <rPr>
        <u/>
        <sz val="11"/>
        <color rgb="FF1155CC"/>
        <rFont val="Calibri"/>
        <family val="2"/>
        <scheme val="minor"/>
      </rPr>
      <t>sopadi07@gmail.com</t>
    </r>
  </si>
  <si>
    <r>
      <rPr>
        <u/>
        <sz val="11"/>
        <color rgb="FF1155CC"/>
        <rFont val="Calibri"/>
        <family val="2"/>
        <scheme val="minor"/>
      </rPr>
      <t>mvbarrera58@gmail.com</t>
    </r>
  </si>
  <si>
    <t>Endis Miguel Plaza Ramos</t>
  </si>
  <si>
    <t>Luis Orlando Yepes Mazo</t>
  </si>
  <si>
    <t>Nora Elena Álvarez Gutierrez</t>
  </si>
  <si>
    <t>Aydee Isabel Sanchez Real</t>
  </si>
  <si>
    <t>Dora Maria Franco Vergara</t>
  </si>
  <si>
    <t>Magnolia Cano Meneses</t>
  </si>
  <si>
    <t>Oscar de Jesús Urán</t>
  </si>
  <si>
    <t>María Luz Dary Torres Otalvaro</t>
  </si>
  <si>
    <t>María Catalina Hernandez Castañeda</t>
  </si>
  <si>
    <t>Bertha Nelly Jaramillo Pulgarín</t>
  </si>
  <si>
    <t>Jakelín Arias Cuervo</t>
  </si>
  <si>
    <t>Gloria Janet Mejia Muñoz</t>
  </si>
  <si>
    <t>Fresia Villa</t>
  </si>
  <si>
    <t>Maria Luz Rendon delgado</t>
  </si>
  <si>
    <t>Cristina Castro tobon</t>
  </si>
  <si>
    <t>Elizableth Perea Waldo</t>
  </si>
  <si>
    <t>jfernandopenagos65@gmail.com</t>
  </si>
  <si>
    <t>arangoalvarezmanuelsalvador@gmail.com</t>
  </si>
  <si>
    <t>flor.cris033@gmail.com</t>
  </si>
  <si>
    <t>orlandoflorez98@hotmail.com</t>
  </si>
  <si>
    <t>lstellav4@gmail.com</t>
  </si>
  <si>
    <t>mo.an15@hotmail.com</t>
  </si>
  <si>
    <t>ramirezluzelena896@gmail.com</t>
  </si>
  <si>
    <t>perezadriana75@hotmail.com</t>
  </si>
  <si>
    <t>laliendelina@gmail.com</t>
  </si>
  <si>
    <t>angelamestrada141@gmail.com</t>
  </si>
  <si>
    <t>myaneth991@gmail.com</t>
  </si>
  <si>
    <t>fresiavilla60@gmail.com</t>
  </si>
  <si>
    <t>marialuzrendon@hotmail.com</t>
  </si>
  <si>
    <t>caminantesdelterritorio@gmail.com</t>
  </si>
  <si>
    <t>alexanderseguros2011@hotmail.com</t>
  </si>
  <si>
    <t>lucilav730@gmail.com</t>
  </si>
  <si>
    <t>pereawaldinaeliza@gmail.com</t>
  </si>
  <si>
    <t>and.reo.@hotmail.com</t>
  </si>
  <si>
    <t>marialuztorres1962@gmail.com</t>
  </si>
  <si>
    <t>jassnow21@yahoo.com</t>
  </si>
  <si>
    <t>nelly3463@gmail.com</t>
  </si>
  <si>
    <t>marce567@hotmail.com</t>
  </si>
  <si>
    <t>luceroflorezgil1981@gmail.com</t>
  </si>
  <si>
    <t>ortegaleonardo048@gmail.com</t>
  </si>
  <si>
    <t>lau.cel98@gmail.com</t>
  </si>
  <si>
    <t>santuariodeabejas@gmail.com</t>
  </si>
  <si>
    <t>helenzapatam@gmail.com</t>
  </si>
  <si>
    <t>gabriela.munos.n07@gmail.com</t>
  </si>
  <si>
    <t>juliansucerquia194@gmail.com</t>
  </si>
  <si>
    <t>leidybm627@gmail.com</t>
  </si>
  <si>
    <t>gloriaceci29@hotmail.com</t>
  </si>
  <si>
    <t>sandrey-93@outlook.com</t>
  </si>
  <si>
    <t>valeriabenjumeac@gmail.com</t>
  </si>
  <si>
    <t>erikanavia27@gmail.com</t>
  </si>
  <si>
    <t>noraalvarez1977@gmail.com</t>
  </si>
  <si>
    <t>aisare1958@gmail.com</t>
  </si>
  <si>
    <t>dorafrancov@hotmail.com</t>
  </si>
  <si>
    <t>lolacanomeneses@gmail.com</t>
  </si>
  <si>
    <t>bernabelopezsierra1956@gmail.com</t>
  </si>
  <si>
    <t>velezgmonsalve@hotmail.com</t>
  </si>
  <si>
    <t>endisplaza5@gmail.com</t>
  </si>
  <si>
    <t>dianajuliethvargas@gmail.com</t>
  </si>
  <si>
    <t>robinalexgom@yahoo.es</t>
  </si>
  <si>
    <t>estefaniveles.iemjb@gmail.com</t>
  </si>
  <si>
    <t>claudia_milena1@hotmail.com</t>
  </si>
  <si>
    <t>antonys_g@hotmail.com</t>
  </si>
  <si>
    <t>diananeuroclinica@gmail.com</t>
  </si>
  <si>
    <t>POPULAR # 2</t>
  </si>
  <si>
    <t>MARCO FIDEL  AGUIRRE DABILA</t>
  </si>
  <si>
    <t>EL PROGRESO SOCIAL</t>
  </si>
  <si>
    <t>Kalvarezcaro@gmail.com</t>
  </si>
  <si>
    <t>BLANCA NUBIA CARO VARGAS</t>
  </si>
  <si>
    <t>Isa19952014@outlook com</t>
  </si>
  <si>
    <t>JORGE ORLANDO   ALVAREZ VELEZ</t>
  </si>
  <si>
    <t>09/13/2025</t>
  </si>
  <si>
    <t>santiagobeltrancaro273@gmail.com</t>
  </si>
  <si>
    <t>SANTIAGO  BELTRAN CARO</t>
  </si>
  <si>
    <t>LA ISLA</t>
  </si>
  <si>
    <t>juanestebanmarincarmona9@gmail.com</t>
  </si>
  <si>
    <t>JUAN ESTEBAN  MARÍN CARMONA</t>
  </si>
  <si>
    <t>Isa19952014@outlook.com</t>
  </si>
  <si>
    <t>KAREN YIRLEY  ALVAREZ CARO</t>
  </si>
  <si>
    <t>ederjortiz@gmail.com</t>
  </si>
  <si>
    <t>EDER JAYR  ORTIZ CASTAÑO</t>
  </si>
  <si>
    <t>MOSCÚ</t>
  </si>
  <si>
    <t>lucy.zapata63@hotmail.com</t>
  </si>
  <si>
    <t>LUCY  ZAPATA PELAEZ</t>
  </si>
  <si>
    <t>gonsalo072@gmail.com</t>
  </si>
  <si>
    <t>LUIS GONZALO ARANGO</t>
  </si>
  <si>
    <t>mariacust97@gmail.com</t>
  </si>
  <si>
    <t>MARIA CUSTODIA  AGUIRRE MESA</t>
  </si>
  <si>
    <t>bertacasa98@gmail.com</t>
  </si>
  <si>
    <t>BERTA ASTRID CASAS BETANCUR</t>
  </si>
  <si>
    <t>lucellyquiceno@gmail.com</t>
  </si>
  <si>
    <t>LUCELY DEL SOCORRO QUICENO SALDARRIAGA</t>
  </si>
  <si>
    <t>SANTA CRUZ PARTE BAJA</t>
  </si>
  <si>
    <t>Yuranimunosrios@gmail.com</t>
  </si>
  <si>
    <t>YURANY   MUÑOZ RIOS</t>
  </si>
  <si>
    <t>lucellybustamantecorrea.5@gmail.com</t>
  </si>
  <si>
    <t>LUCELLY  BUSTAMANTE CORREA</t>
  </si>
  <si>
    <t>albaparra1997@gmail.com</t>
  </si>
  <si>
    <t>ALBA NORA  PARRA</t>
  </si>
  <si>
    <t>decheverri28@gmail.com</t>
  </si>
  <si>
    <t>DORA LUZ  ECHEVERRI PEREZ</t>
  </si>
  <si>
    <t>Fernandaperezhincapie.44@gmail.com</t>
  </si>
  <si>
    <t>LUISA FERNANDA PEREZ HINCAPIÉ</t>
  </si>
  <si>
    <t>camilopp02@gmail.com</t>
  </si>
  <si>
    <t>CAMILO  PINEDA</t>
  </si>
  <si>
    <t>pecos19761@hotmail.com</t>
  </si>
  <si>
    <t>ANA EUGENIA  PEREZ MACHADO</t>
  </si>
  <si>
    <t>SANTA CRUZ PARTE ALTA</t>
  </si>
  <si>
    <t>martagomez1256@gmail.com</t>
  </si>
  <si>
    <t>MARTHA LUCÍA GÓMEZ DE GIL</t>
  </si>
  <si>
    <t>Magyperez196114@gmail.com</t>
  </si>
  <si>
    <t>OMAYRA DEL SOCORRO PÉREZ</t>
  </si>
  <si>
    <t>alexloca1537@gmail.com</t>
  </si>
  <si>
    <t>CLAUDIA ALEXANDRA SERNA PÉREZ</t>
  </si>
  <si>
    <t>euniperez1@hotmail.com</t>
  </si>
  <si>
    <t>MARIA EUNICE PEREZ DE HERNANDEZ</t>
  </si>
  <si>
    <t>mcastanedac7@gmail.com</t>
  </si>
  <si>
    <t>MARLENY DE JESÚS  CASTAÑEDA CASTAÑEDA</t>
  </si>
  <si>
    <t>VILLA DEL SOCORRO</t>
  </si>
  <si>
    <t>candida.rosa2029@gmail.com</t>
  </si>
  <si>
    <t>CANDIDA ROSA  SALDARRIAGA</t>
  </si>
  <si>
    <t>fandres447@outlook.com</t>
  </si>
  <si>
    <t>CRISTIAN ANDRES  FLOREZ</t>
  </si>
  <si>
    <t>dianagil163@yahoo.es</t>
  </si>
  <si>
    <t>DIANA ISABEL  GIL</t>
  </si>
  <si>
    <t>marlLymejia2007@gmail.com</t>
  </si>
  <si>
    <t>MARLENY  MEJIA PINO</t>
  </si>
  <si>
    <t>marifelove58@gmail.com</t>
  </si>
  <si>
    <t>ERICA MARIA  MESA</t>
  </si>
  <si>
    <t>noheliar54@gmail.com</t>
  </si>
  <si>
    <t>MARIA NOHELIA  RAMIREZ</t>
  </si>
  <si>
    <t>VILLA NIZA</t>
  </si>
  <si>
    <t>harryalonsog12@gmail.com</t>
  </si>
  <si>
    <t>HARRY  MORENO</t>
  </si>
  <si>
    <t>velezedwin@gmail.com</t>
  </si>
  <si>
    <t>EDWIN URIEL  VELEZ</t>
  </si>
  <si>
    <t>leyla.roman@hotmail.com</t>
  </si>
  <si>
    <t>LEYLA  ROMAN</t>
  </si>
  <si>
    <t>rasiniastrid@gmail.com</t>
  </si>
  <si>
    <t>ASTRID  RACINIS</t>
  </si>
  <si>
    <t>marizaquintero53@gmail.com</t>
  </si>
  <si>
    <t>MARITZA  QUINTERO</t>
  </si>
  <si>
    <t>edinsson.uriberodriguez@gmail.com</t>
  </si>
  <si>
    <t>EDISON  URIBE RODRIGUEZ</t>
  </si>
  <si>
    <t>ANDALUCIA</t>
  </si>
  <si>
    <t>saraisabelruahoyoss@gmail.com</t>
  </si>
  <si>
    <t>SARA ISABEL  RUA</t>
  </si>
  <si>
    <t>ltabaresjaramillo@gmail.com</t>
  </si>
  <si>
    <t>LEYDY JOHANNA  TABARES JARAMILLO</t>
  </si>
  <si>
    <t>daniel.alejandrocano.zapata@gmail.com</t>
  </si>
  <si>
    <t>DANIEL ALEJANDRO  CANO</t>
  </si>
  <si>
    <t>willsonguerra1897@gmail.com</t>
  </si>
  <si>
    <t>WILSON  GUERRA</t>
  </si>
  <si>
    <t>boanergescardonaz@gmail.com</t>
  </si>
  <si>
    <t>BOANERGES  CARDONA ZAPATA</t>
  </si>
  <si>
    <t>DORA DE JESUS HOYOS</t>
  </si>
  <si>
    <t>LA FRANCIA</t>
  </si>
  <si>
    <t>camateo291@gmail.com</t>
  </si>
  <si>
    <t>MATEO  COPETE</t>
  </si>
  <si>
    <t>JORGE  CARDONA</t>
  </si>
  <si>
    <t>melaynycalderon946@gmail.com</t>
  </si>
  <si>
    <t>SOR MELIDA  SERRANO</t>
  </si>
  <si>
    <t>ADELAIDA  SEPULVEDA</t>
  </si>
  <si>
    <t>rafaelbernanramirezoliva@gmail.com</t>
  </si>
  <si>
    <t>RAFAEL BERNAN  RAMIREZ</t>
  </si>
  <si>
    <t>ARLEY DE JESUS  SEPULVEDA</t>
  </si>
  <si>
    <t>LA FRONTERA</t>
  </si>
  <si>
    <t>gladysrestrepo1960@gmail.com</t>
  </si>
  <si>
    <t>GLADYS PATRICIA  RESTREPO URIBE</t>
  </si>
  <si>
    <t>luzdarysierralondono@gmail.com</t>
  </si>
  <si>
    <t>LUZ DARY  SIERRA LONDOÑO</t>
  </si>
  <si>
    <t>omairarpo1958@gmail.com</t>
  </si>
  <si>
    <t>BERTA OMAIRA RESTREPO BETANCUR</t>
  </si>
  <si>
    <t>hernedistsvv24@gmail.com</t>
  </si>
  <si>
    <t>HERNEDIS  FRANCO</t>
  </si>
  <si>
    <t>BERNARDO  CALLE</t>
  </si>
  <si>
    <t>PABLO VI</t>
  </si>
  <si>
    <t>EDGAR BRAVO</t>
  </si>
  <si>
    <t>pedropablo349@gmail.com</t>
  </si>
  <si>
    <t>PEDRO PABLO  FERNANDEZ</t>
  </si>
  <si>
    <t>luzmery.sanchez@hotmail.com</t>
  </si>
  <si>
    <t>LUZ MERY  SANCHEZ</t>
  </si>
  <si>
    <t>manuelitorincon16@gmail.com</t>
  </si>
  <si>
    <t>MANUEL  RINCON</t>
  </si>
  <si>
    <t>jackelinelondoc@hotmail.com</t>
  </si>
  <si>
    <t>JACKELINE LONDOÑO</t>
  </si>
  <si>
    <t>RUBEN DARIO ARENAS OSPINA</t>
  </si>
  <si>
    <t>robinsonzgomez75@gmail.com</t>
  </si>
  <si>
    <t>ROBINSON  ZAPATA GOMEZ</t>
  </si>
  <si>
    <t>MARIA AUXILIADORA</t>
  </si>
  <si>
    <t>sindi318@hotmail.com</t>
  </si>
  <si>
    <t>SINDI YULIANY  MORALES VALENCIA</t>
  </si>
  <si>
    <t>yulianp.2981@mail.com</t>
  </si>
  <si>
    <t>YULIAN BIBIANA PATIÑO ARREDONDO</t>
  </si>
  <si>
    <t>hernandezedwin1909@gmail.com</t>
  </si>
  <si>
    <t>EDWIN  HERNANDEZ  OSPINA</t>
  </si>
  <si>
    <t>victoriaospina2025@gmail.com</t>
  </si>
  <si>
    <t>CARLOS DANIEL  LONDOÑO</t>
  </si>
  <si>
    <t>riosyuliet075@gmail.com</t>
  </si>
  <si>
    <t>ALI YULIET RIOS LAVERDE</t>
  </si>
  <si>
    <t>tatiana.zg4@gmail.com</t>
  </si>
  <si>
    <t>TATIANA ZAPATA GARCIA</t>
  </si>
  <si>
    <t>luzmarom2@gmail.com</t>
  </si>
  <si>
    <t>LUZ MARINA ROMERO</t>
  </si>
  <si>
    <t>JHON JAIRO MENA</t>
  </si>
  <si>
    <t>sandra.23jaramillo@hotmail.com</t>
  </si>
  <si>
    <t>SANDRA MILENA JARAMILLO PATIÑO</t>
  </si>
  <si>
    <t>OLGA LUCIA PATIÑO LEZCANO</t>
  </si>
  <si>
    <t>ocampovargasema@gmail.com</t>
  </si>
  <si>
    <t>MARIA EMA  OCAMPO VARGAS</t>
  </si>
  <si>
    <t>gabrieljaimeyepes4@gmail.com</t>
  </si>
  <si>
    <t>GABRIEL JAIME YEPES VARGAS</t>
  </si>
  <si>
    <t>madrigalluz73@gmail.com</t>
  </si>
  <si>
    <t>LUZ FRAIDE  MADRIGAL</t>
  </si>
  <si>
    <t>PLAYÓN DE LOS COMUNEROS</t>
  </si>
  <si>
    <t>domilayo63@gmail.com</t>
  </si>
  <si>
    <t>MARÍA DOMITILA TAMAYO ARROYAVE</t>
  </si>
  <si>
    <t>salomediva@gmail.com</t>
  </si>
  <si>
    <t>DIVA ESTER  ZABALA</t>
  </si>
  <si>
    <t>holguinericjesus@gmail.com</t>
  </si>
  <si>
    <t>ERIC  HOLGIN</t>
  </si>
  <si>
    <t>ginao.1527@gmail.com</t>
  </si>
  <si>
    <t>YINA  RAMOS</t>
  </si>
  <si>
    <t>luzmarinasierra@gmail.com</t>
  </si>
  <si>
    <t>LUZ MARINA  SIERRA</t>
  </si>
  <si>
    <t>JORGE LUIS SUESCUN RESTREPO</t>
  </si>
  <si>
    <t>YANELIS VÁSQUEZ ÁLVAREZ</t>
  </si>
  <si>
    <t>LEISA YOHANA ARANGO OCHOA</t>
  </si>
  <si>
    <t>ISABELLA BETANCUR QUINTERO</t>
  </si>
  <si>
    <t>DULCE MARÍA ESPAÑA PARRA</t>
  </si>
  <si>
    <t>GIANNY SOFIA SOTO RIVERA</t>
  </si>
  <si>
    <t>SANTIAGO BELTRAN</t>
  </si>
  <si>
    <t>RUBEN DARION ARENA OSPINA</t>
  </si>
  <si>
    <t>MARISOL MARTINES AGUIRRE</t>
  </si>
  <si>
    <t>MARCOS FIDEL AGUIRRE DAVILA</t>
  </si>
  <si>
    <t>MANUEL RINCON RIOS</t>
  </si>
  <si>
    <t>LUZ MERY SANCHEZ ESPINOZA</t>
  </si>
  <si>
    <t>LENNY ALEJANDRO MORENO ARIAS</t>
  </si>
  <si>
    <t>KAREN YIRLEY ALVAREZ CARO</t>
  </si>
  <si>
    <t>JUAN ESTEBAN MARIN CARMONA</t>
  </si>
  <si>
    <t>JACKELINE LONDOÑO QUINTERO</t>
  </si>
  <si>
    <t>DULCE MARIA HENAO</t>
  </si>
  <si>
    <t>ANGELICA MARIA MARTINEZ AGUIRRE</t>
  </si>
  <si>
    <t>Moscú Nº 3</t>
  </si>
  <si>
    <t>Moscú Nº 4</t>
  </si>
  <si>
    <t>Moscú Nº 5</t>
  </si>
  <si>
    <t>Moscú Nº 6</t>
  </si>
  <si>
    <t>San José La Cima Nº 3</t>
  </si>
  <si>
    <t>San José La Cima Nº 4</t>
  </si>
  <si>
    <t>Wilfer Arley Alvarez</t>
  </si>
  <si>
    <t>Versalles Nº 3</t>
  </si>
  <si>
    <t>Versalles Nº 0</t>
  </si>
  <si>
    <t>San José La Cima Nº 0</t>
  </si>
  <si>
    <t>Golondrinas</t>
  </si>
  <si>
    <t>Nelson de Jesus Rodriguez Ususga</t>
  </si>
  <si>
    <r>
      <rPr>
        <u/>
        <sz val="11"/>
        <color rgb="FF1155CC"/>
        <rFont val="&quot;Aptos Narrow&quot;, sans-serif"/>
      </rPr>
      <t>jacgolondrinasc8@gmail.com</t>
    </r>
  </si>
  <si>
    <t>Juan de Dios Lopez Pino</t>
  </si>
  <si>
    <r>
      <rPr>
        <u/>
        <sz val="11"/>
        <color rgb="FF1155CC"/>
        <rFont val="&quot;Aptos Narrow&quot;, sans-serif"/>
      </rPr>
      <t>pinolopezjuan2020@gmail.com</t>
    </r>
  </si>
  <si>
    <t>Jesus AlonsoRestrepo Londoño</t>
  </si>
  <si>
    <r>
      <rPr>
        <u/>
        <sz val="11"/>
        <color rgb="FF1155CC"/>
        <rFont val="&quot;Aptos Narrow&quot;, sans-serif"/>
      </rPr>
      <t>jesusrestrepo0726@gmail.com</t>
    </r>
  </si>
  <si>
    <t>Juan Manuel Lopez Aldana</t>
  </si>
  <si>
    <r>
      <rPr>
        <u/>
        <sz val="11"/>
        <color rgb="FF1155CC"/>
        <rFont val="&quot;Aptos Narrow&quot;, sans-serif"/>
      </rPr>
      <t>juancha23@hotmail.com</t>
    </r>
  </si>
  <si>
    <t>Maricelly villegas torres</t>
  </si>
  <si>
    <r>
      <rPr>
        <u/>
        <sz val="11"/>
        <color rgb="FF1155CC"/>
        <rFont val="&quot;Aptos Narrow&quot;, sans-serif"/>
      </rPr>
      <t>maricellyvillegas8@gmail.com</t>
    </r>
  </si>
  <si>
    <t>Nancy de Jesus Ramirez Morales</t>
  </si>
  <si>
    <r>
      <rPr>
        <u/>
        <sz val="11"/>
        <color rgb="FF1155CC"/>
        <rFont val="&quot;Aptos Narrow&quot;, sans-serif"/>
      </rPr>
      <t>nadiramirez@gmail.com</t>
    </r>
  </si>
  <si>
    <t>Pinares de Oriente</t>
  </si>
  <si>
    <t>Paola Andrea Vázquez</t>
  </si>
  <si>
    <t>Rosa Elena agudelo machado</t>
  </si>
  <si>
    <t>Keli valentina Sánchez</t>
  </si>
  <si>
    <t>Libertad 1</t>
  </si>
  <si>
    <t>Luz Alba Ramírez Vasco coordinadora</t>
  </si>
  <si>
    <t>Azalia Maria Ramírez Vasco</t>
  </si>
  <si>
    <t>Vanesa Gambo Mena</t>
  </si>
  <si>
    <t>Tatiana Gamboa Mena</t>
  </si>
  <si>
    <t>María Ubeny Mazo</t>
  </si>
  <si>
    <t>Emperatriz Ramírez</t>
  </si>
  <si>
    <t>Santa Lucía</t>
  </si>
  <si>
    <t>Fran Mauricio diascastro</t>
  </si>
  <si>
    <r>
      <rPr>
        <u/>
        <sz val="11"/>
        <color rgb="FF1155CC"/>
        <rFont val="&quot;Aptos Narrow&quot;, sans-serif"/>
      </rPr>
      <t>lilimontoya198@hotmail.com</t>
    </r>
  </si>
  <si>
    <t>Cristina David Hincapie Soto</t>
  </si>
  <si>
    <r>
      <rPr>
        <u/>
        <sz val="11"/>
        <color rgb="FF1155CC"/>
        <rFont val="&quot;Aptos Narrow&quot;, sans-serif"/>
      </rPr>
      <t>incapie.contacto@gmail.com</t>
    </r>
  </si>
  <si>
    <t>Sandra Milena Jaramillo</t>
  </si>
  <si>
    <r>
      <rPr>
        <u/>
        <sz val="11"/>
        <color rgb="FF1155CC"/>
        <rFont val="&quot;Aptos Narrow&quot;, sans-serif"/>
      </rPr>
      <t>sandrajaramio0893@gmail.com</t>
    </r>
  </si>
  <si>
    <t>Orlando Machado Soto</t>
  </si>
  <si>
    <r>
      <rPr>
        <u/>
        <sz val="11"/>
        <color rgb="FF1155CC"/>
        <rFont val="&quot;Aptos Narrow&quot;, sans-serif"/>
      </rPr>
      <t>jac8sllasestancias@gmail.com</t>
    </r>
  </si>
  <si>
    <t>Guillermo Ibarra Chaberra</t>
  </si>
  <si>
    <t>DEISY GLEMY DURANGO GIRALDO</t>
  </si>
  <si>
    <t>Deisydurango95@gmail.com</t>
  </si>
  <si>
    <t>NORMA EDITH JARAMILLO HOYOS</t>
  </si>
  <si>
    <t>edithjaramillo187@gmail.com</t>
  </si>
  <si>
    <t>ADRIANA MARÍA GRAJALES RAMÍREZ</t>
  </si>
  <si>
    <t>Sin información</t>
  </si>
  <si>
    <t>JAVIER EDUARDO HERNÁNDEZ RUEDA</t>
  </si>
  <si>
    <t>edumer2729@gmail.com</t>
  </si>
  <si>
    <t>DULCE MARÍA JARAMILLO AREIZA</t>
  </si>
  <si>
    <t>T.I 1018249850</t>
  </si>
  <si>
    <t>301 7480509</t>
  </si>
  <si>
    <t>dulcemariajaramillo@gmail.com</t>
  </si>
  <si>
    <t>JUDY ESMERALDA ÁVAREZ CANO</t>
  </si>
  <si>
    <r>
      <rPr>
        <u/>
        <sz val="11"/>
        <color rgb="FF1155CC"/>
        <rFont val="Calibri"/>
        <family val="2"/>
      </rPr>
      <t>Yudiesmeralda@gmail.com</t>
    </r>
  </si>
  <si>
    <t>MARIA JAEL SANCHEZ CALLE</t>
  </si>
  <si>
    <t>maria.jael0311@guimail.com.</t>
  </si>
  <si>
    <t>LUZ MARIELA SANCHEZ GARCÍA</t>
  </si>
  <si>
    <t>sanchezgarciamary67@gmail.com</t>
  </si>
  <si>
    <t>PIEDAD MARTINEZ LEÓN</t>
  </si>
  <si>
    <t>Piedadmartinez@gmail.com</t>
  </si>
  <si>
    <t>ANA SOFÍA SANCHEZ CUERVO</t>
  </si>
  <si>
    <t>LUZ MARGARITA SANCHEZ CUERVO</t>
  </si>
  <si>
    <t>Luzmarga.95@gimail.com</t>
  </si>
  <si>
    <t>HORACIO LARGO RESTREPO</t>
  </si>
  <si>
    <t>horaciolargo01@gmail.com</t>
  </si>
  <si>
    <t>WILLIAM DE JESÚS RESTREPO RIOS</t>
  </si>
  <si>
    <t xml:space="preserve">SILVIA ELENA HIGUITA RAMIREZ </t>
  </si>
  <si>
    <r>
      <rPr>
        <u/>
        <sz val="11"/>
        <color rgb="FF1155CC"/>
        <rFont val="Calibri"/>
        <family val="2"/>
      </rPr>
      <t>SilviaElenaHiguita64@gmail.com</t>
    </r>
  </si>
  <si>
    <t>FLORALBA QUIROZ MORENO</t>
  </si>
  <si>
    <t>Floralbaquiroz348@gmail.com</t>
  </si>
  <si>
    <t>LUZ DARY RESTREPO RIOS</t>
  </si>
  <si>
    <t xml:space="preserve">OLGA CARMONA </t>
  </si>
  <si>
    <t>CLAUDIA PATRICIA MOLINA GÓMEZ</t>
  </si>
  <si>
    <t>320 790 93 62</t>
  </si>
  <si>
    <t>DORALBA FLOREZ LOAIZA</t>
  </si>
  <si>
    <t>jacvillatina0809@gmail.com</t>
  </si>
  <si>
    <t>MARITZA JHULIET VELASQUEZ QUINTERO</t>
  </si>
  <si>
    <t>maraju1986@hotmail.com</t>
  </si>
  <si>
    <t>EDELMIRA DEL CARMEN BEDOYA PATIÑO</t>
  </si>
  <si>
    <t>edelcarmen46@hotmail.com</t>
  </si>
  <si>
    <t>ESTEFANIA BEDOYA PATIÑO</t>
  </si>
  <si>
    <t>estefaniabedoyap9@gmail.com</t>
  </si>
  <si>
    <t>CONSUELO DE JESÚS RESTREPO CHAVARRIAGA</t>
  </si>
  <si>
    <r>
      <rPr>
        <u/>
        <sz val="11"/>
        <color rgb="FF1155CC"/>
        <rFont val="Calibri"/>
        <family val="2"/>
      </rPr>
      <t>consuelo22000@gmail.com</t>
    </r>
  </si>
  <si>
    <t>MARGARITA BECERRA</t>
  </si>
  <si>
    <t>321 627 1984</t>
  </si>
  <si>
    <t>La Libertad 2</t>
  </si>
  <si>
    <t>Liliana Montoya Bedoya</t>
  </si>
  <si>
    <t>Morelia Garcia</t>
  </si>
  <si>
    <t>Merlidis Diana Garces Mendoza</t>
  </si>
  <si>
    <t>Isabel Henao</t>
  </si>
  <si>
    <t>Luz Marina Matines Botero</t>
  </si>
  <si>
    <t>Frank Darío Peña velez</t>
  </si>
  <si>
    <t>Tatiana Valencia Londoño</t>
  </si>
  <si>
    <t>Sofia Vélez Zuluaga</t>
  </si>
  <si>
    <t>Edwin Mauricio Castaño Saavedra</t>
  </si>
  <si>
    <t xml:space="preserve">Diana Milena Londoño Pelaez </t>
  </si>
  <si>
    <t>Diego Alejandro López Montoya</t>
  </si>
  <si>
    <t>Ledix Johana Rámirez florez</t>
  </si>
  <si>
    <t>Lorena Montoya Ramirez</t>
  </si>
  <si>
    <t>Johan Montoya Ramirez</t>
  </si>
  <si>
    <t>Sara Katherine Villada Ramirez</t>
  </si>
  <si>
    <t xml:space="preserve">Jennifer Catalina Cardona Pérez </t>
  </si>
  <si>
    <t>Rodrigo Alberto Quiceno Oquendo</t>
  </si>
  <si>
    <t>Libardo Antonio Moná Gallego</t>
  </si>
  <si>
    <t>Luz Marina Velez Pineda</t>
  </si>
  <si>
    <t>Luz Arelis Avedaño Restrepo</t>
  </si>
  <si>
    <t>Comuna2</t>
  </si>
  <si>
    <t>T</t>
  </si>
  <si>
    <t>S</t>
  </si>
  <si>
    <t>Media Luna- La Palma</t>
  </si>
  <si>
    <t>MORADORES DEL TERRITORIO JAC OLAYA HERRERA 1</t>
  </si>
  <si>
    <t>BARRIAL SANTA MARGARITA</t>
  </si>
  <si>
    <t>JAC Palenque</t>
  </si>
  <si>
    <t>JAC LA CASCADA (Proceso remoción)</t>
  </si>
  <si>
    <t>JAC Multifamiliares la Iguana</t>
  </si>
  <si>
    <t>JAC Villa Campiña</t>
  </si>
  <si>
    <t>JAC Cucaracho</t>
  </si>
  <si>
    <t>JAC Villa Flora</t>
  </si>
  <si>
    <t>Cordoba</t>
  </si>
  <si>
    <t>JAC Altamira</t>
  </si>
  <si>
    <t>JAC VILLA DE LA CANDELARIA</t>
  </si>
  <si>
    <t>JAC BELLO HORIZONTE</t>
  </si>
  <si>
    <t>JAC Las Cometas</t>
  </si>
  <si>
    <t>JAC Villa Sofia Étapa A</t>
  </si>
  <si>
    <t>JAC AURES 2</t>
  </si>
  <si>
    <t>JAC AURES 1</t>
  </si>
  <si>
    <t>JAC Brisas de Robledo</t>
  </si>
  <si>
    <t>JAC Fuente Clara</t>
  </si>
  <si>
    <t>SEBASTIAN ALBERTO VALENCIA CHAVARRIA</t>
  </si>
  <si>
    <t>EDA MARIA RODRIGUEZ RAMIREZ</t>
  </si>
  <si>
    <t>OSCAR AMADOR RIVAS HIBARGUEN</t>
  </si>
  <si>
    <t>82 383 007</t>
  </si>
  <si>
    <t>ESFUERZOS DE PAZ 2</t>
  </si>
  <si>
    <t>YENNY CAROLINA MURILLO ZEA</t>
  </si>
  <si>
    <t>luisacarolina234@gmail.com</t>
  </si>
  <si>
    <t>YINA YULIETH MARTINEZ CORDOBA</t>
  </si>
  <si>
    <t>yina97568@gmail.com</t>
  </si>
  <si>
    <t>CRISTIAN CAMILO MURILLO MOSQUERA</t>
  </si>
  <si>
    <t>Crisdelmurillo@gmail.com</t>
  </si>
  <si>
    <t>MARY YICED MOSQUERA GIRON</t>
  </si>
  <si>
    <t>crisrisard87@gmail.com</t>
  </si>
  <si>
    <t>MARLEN BIVIANA MOSQUERA RODRIGUEZ</t>
  </si>
  <si>
    <t>drvr702910@gmail.com</t>
  </si>
  <si>
    <t>LUISA FERNANDA PEREA URRUTIA</t>
  </si>
  <si>
    <t>DARLIN DAYANA PEREA MOSQUERA</t>
  </si>
  <si>
    <t>No Hay</t>
  </si>
  <si>
    <t>Comite del rincon</t>
  </si>
  <si>
    <t>La Planta.</t>
  </si>
  <si>
    <t>PARROQUIA SAN FRANCISCO DE ASIS</t>
  </si>
  <si>
    <t>Villa hermosa</t>
  </si>
  <si>
    <t>Jac El Pinal</t>
  </si>
  <si>
    <t>Pinar del cerro</t>
  </si>
  <si>
    <t>LA PRIMAVERA</t>
  </si>
  <si>
    <t>VILLA TURBAY</t>
  </si>
  <si>
    <t>VILLA LILIAM PA</t>
  </si>
  <si>
    <t>VILLALILIAM PARTE BAJA</t>
  </si>
  <si>
    <t>UNION DE CRISTO</t>
  </si>
  <si>
    <t>LLANADITAS</t>
  </si>
  <si>
    <t>EL FARO</t>
  </si>
  <si>
    <t>ALTOS DE LA TORRES</t>
  </si>
  <si>
    <t>13 de noviembre</t>
  </si>
  <si>
    <t>ORGANIZACIÓN SOCIAL MESTIZAS</t>
  </si>
  <si>
    <t>LOS MANGOS</t>
  </si>
  <si>
    <t>LA LIBERTAD 2</t>
  </si>
  <si>
    <t>SAN ANTONIO</t>
  </si>
  <si>
    <t>VILLATINA</t>
  </si>
  <si>
    <r>
      <rPr>
        <sz val="11"/>
        <color rgb="FF1155CC"/>
        <rFont val="Calibri"/>
        <family val="2"/>
        <scheme val="minor"/>
      </rPr>
      <t>solucionesindustrialescc@gmail.com</t>
    </r>
  </si>
  <si>
    <r>
      <rPr>
        <sz val="11"/>
        <color rgb="FF1155CC"/>
        <rFont val="Calibri"/>
        <family val="2"/>
        <scheme val="minor"/>
      </rPr>
      <t>armandomunoz639@gmail.com</t>
    </r>
  </si>
  <si>
    <r>
      <rPr>
        <sz val="11"/>
        <color rgb="FF1155CC"/>
        <rFont val="Calibri"/>
        <family val="2"/>
        <scheme val="minor"/>
      </rPr>
      <t>danielbeoya1903@gmail.com</t>
    </r>
  </si>
  <si>
    <r>
      <rPr>
        <sz val="11"/>
        <color rgb="FF1155CC"/>
        <rFont val="Calibri"/>
        <family val="2"/>
        <scheme val="minor"/>
      </rPr>
      <t>Edwinalexander0613@gmail.com</t>
    </r>
  </si>
  <si>
    <t>Sandra Milena Murillo Garzon</t>
  </si>
  <si>
    <t>Johany Stiver Castaño Metaute</t>
  </si>
  <si>
    <t>Jairo De Jesus Tabares Taborda</t>
  </si>
  <si>
    <t>Gustavo Alonso Alzate Salazar</t>
  </si>
  <si>
    <t>Shirley Xiomara Agudelo Cordoba</t>
  </si>
  <si>
    <t>Faber Norvey Cataño Castrillon</t>
  </si>
  <si>
    <t>Maria Jose Sepulveda Marin</t>
  </si>
  <si>
    <t>Martin Andrade Garcia</t>
  </si>
  <si>
    <t>Ludibia Henao Grisales</t>
  </si>
  <si>
    <t>Wilin Anderson Saldarriaga Marin</t>
  </si>
  <si>
    <t>Fabio De Jesus Vanegas Cano</t>
  </si>
  <si>
    <t>Maria Adriana Rodriguez Bedoya</t>
  </si>
  <si>
    <t>Luis Restrepo</t>
  </si>
  <si>
    <t>Dulce Maria Jimenez</t>
  </si>
  <si>
    <t>Dumar Felipe Gutierrez Patiño</t>
  </si>
  <si>
    <t>Luis Emilio Cano Velasquez</t>
  </si>
  <si>
    <t>Luz Mery Borja Echavarria</t>
  </si>
  <si>
    <t>Dulce Maria Jaramillo</t>
  </si>
  <si>
    <t>Emilly Alexandra Ruda Franco</t>
  </si>
  <si>
    <t>Luz Dary Restrepo Rios</t>
  </si>
  <si>
    <t>Juan Pablo Aguirre Garzon</t>
  </si>
  <si>
    <t>Jose Elisio Ortiz Moreno</t>
  </si>
  <si>
    <t>Jose Yadit Yanes Doria</t>
  </si>
  <si>
    <t>Beatris Elena Martinez Toro</t>
  </si>
  <si>
    <t>Rosa Irene Carmona Florez</t>
  </si>
  <si>
    <r>
      <rPr>
        <sz val="11"/>
        <color rgb="FF1155CC"/>
        <rFont val="&quot;Aptos Narrow&quot;, sans-serif"/>
      </rPr>
      <t>jacgolondrinasc8@gmail.com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</si>
</sst>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d/mm/yyyy"/>
    <numFmt numFmtId="166" formatCode="d&quot; DE &quot;mmmm"/>
    <numFmt numFmtId="167" formatCode="d/m/yy"/>
  </numFmts>
  <fonts count="65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theme="10"/>
      <name val="Arial"/>
      <family val="2"/>
    </font>
    <font>
      <u/>
      <sz val="11"/>
      <color rgb="FF000000"/>
      <name val="Arial"/>
      <family val="2"/>
    </font>
    <font>
      <u/>
      <sz val="11"/>
      <color rgb="FF000000"/>
      <name val="Arial"/>
      <family val="2"/>
    </font>
    <font>
      <u/>
      <sz val="11"/>
      <color theme="1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1"/>
      <color rgb="FF1155CC"/>
      <name val="Arial"/>
      <family val="2"/>
    </font>
    <font>
      <sz val="11"/>
      <color rgb="FFFF0000"/>
      <name val="Arial"/>
      <family val="2"/>
    </font>
    <font>
      <u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563C1"/>
      <name val="Calibri"/>
      <family val="2"/>
    </font>
    <font>
      <sz val="12"/>
      <color rgb="FF000000"/>
      <name val="Arial"/>
      <family val="2"/>
    </font>
    <font>
      <sz val="12"/>
      <color rgb="FF434343"/>
      <name val="Arial"/>
      <family val="2"/>
    </font>
    <font>
      <u/>
      <sz val="11"/>
      <color rgb="FF1155CC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E1E1E"/>
      <name val="Arial"/>
      <family val="2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1E1E1E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9420C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u/>
      <sz val="11"/>
      <color rgb="FF0000FF"/>
      <name val="&quot;Aptos Narrow&quot;"/>
    </font>
    <font>
      <u/>
      <sz val="11"/>
      <color rgb="FF1155CC"/>
      <name val="&quot;Aptos Narrow&quot;, sans-serif"/>
    </font>
    <font>
      <u/>
      <sz val="11"/>
      <color rgb="FF467886"/>
      <name val="&quot;Aptos Narrow&quot;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scheme val="minor"/>
    </font>
    <font>
      <u/>
      <sz val="11"/>
      <color theme="1"/>
      <name val="Arial"/>
      <family val="2"/>
    </font>
    <font>
      <sz val="11"/>
      <color rgb="FF1155CC"/>
      <name val="Calibri"/>
      <family val="2"/>
      <scheme val="minor"/>
    </font>
    <font>
      <sz val="11"/>
      <color rgb="FF1155CC"/>
      <name val="&quot;Aptos Narrow&quot;, sans-serif"/>
    </font>
  </fonts>
  <fills count="49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A9999"/>
      </patternFill>
    </fill>
    <fill>
      <patternFill patternType="solid">
        <fgColor rgb="FFFFFF00"/>
        <bgColor rgb="FFB6D7A8"/>
      </patternFill>
    </fill>
    <fill>
      <patternFill patternType="solid">
        <fgColor rgb="FFFFFF00"/>
        <bgColor rgb="FFE0666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rgb="FFB4A7D6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0" tint="-0.14999847407452621"/>
        <bgColor rgb="FFFFE598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CCECFF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ECFF"/>
        <bgColor rgb="FFB6D7A8"/>
      </patternFill>
    </fill>
    <fill>
      <patternFill patternType="solid">
        <fgColor theme="9" tint="0.79998168889431442"/>
        <bgColor rgb="FFB6D7A8"/>
      </patternFill>
    </fill>
    <fill>
      <patternFill patternType="solid">
        <fgColor theme="0" tint="-0.14999847407452621"/>
        <bgColor rgb="FFB6D7A8"/>
      </patternFill>
    </fill>
    <fill>
      <patternFill patternType="solid">
        <fgColor theme="7" tint="0.79998168889431442"/>
        <bgColor rgb="FFB6D7A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A9999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B6D7A8"/>
      </patternFill>
    </fill>
    <fill>
      <patternFill patternType="solid">
        <fgColor rgb="FFCCECFF"/>
        <bgColor rgb="FFE06666"/>
      </patternFill>
    </fill>
    <fill>
      <patternFill patternType="solid">
        <fgColor rgb="FFFFFF00"/>
        <bgColor rgb="FFB4A7D6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/>
      <right style="thin">
        <color indexed="64"/>
      </right>
      <top style="thin">
        <color theme="4"/>
      </top>
      <bottom style="thin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thin">
        <color theme="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indexed="64"/>
      </bottom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34" fillId="0" borderId="0" applyNumberFormat="0" applyFill="0" applyBorder="0" applyAlignment="0" applyProtection="0"/>
    <xf numFmtId="0" fontId="7" fillId="0" borderId="13"/>
  </cellStyleXfs>
  <cellXfs count="1019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3" borderId="0" xfId="0" applyFont="1" applyFill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0" fillId="0" borderId="0" xfId="0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1" xfId="0" applyFont="1" applyFill="1" applyBorder="1"/>
    <xf numFmtId="0" fontId="10" fillId="5" borderId="0" xfId="0" applyFont="1" applyFill="1" applyAlignment="1">
      <alignment horizontal="center" vertical="center"/>
    </xf>
    <xf numFmtId="0" fontId="0" fillId="5" borderId="0" xfId="0" applyFill="1"/>
    <xf numFmtId="0" fontId="10" fillId="5" borderId="3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right"/>
    </xf>
    <xf numFmtId="0" fontId="10" fillId="5" borderId="5" xfId="0" applyFont="1" applyFill="1" applyBorder="1" applyAlignment="1">
      <alignment horizontal="center"/>
    </xf>
    <xf numFmtId="0" fontId="10" fillId="6" borderId="5" xfId="0" applyFont="1" applyFill="1" applyBorder="1"/>
    <xf numFmtId="0" fontId="10" fillId="5" borderId="5" xfId="0" applyFont="1" applyFill="1" applyBorder="1" applyAlignment="1">
      <alignment wrapText="1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left"/>
    </xf>
    <xf numFmtId="0" fontId="10" fillId="6" borderId="6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3" fillId="6" borderId="1" xfId="0" applyFont="1" applyFill="1" applyBorder="1"/>
    <xf numFmtId="0" fontId="11" fillId="6" borderId="0" xfId="0" applyFont="1" applyFill="1"/>
    <xf numFmtId="0" fontId="10" fillId="6" borderId="5" xfId="0" applyFont="1" applyFill="1" applyBorder="1" applyAlignment="1">
      <alignment horizontal="left"/>
    </xf>
    <xf numFmtId="0" fontId="10" fillId="6" borderId="5" xfId="0" applyFont="1" applyFill="1" applyBorder="1" applyAlignment="1">
      <alignment horizontal="center"/>
    </xf>
    <xf numFmtId="165" fontId="10" fillId="6" borderId="5" xfId="0" applyNumberFormat="1" applyFont="1" applyFill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0" fontId="10" fillId="6" borderId="3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left" vertical="top"/>
    </xf>
    <xf numFmtId="0" fontId="10" fillId="6" borderId="5" xfId="0" applyFont="1" applyFill="1" applyBorder="1" applyAlignment="1">
      <alignment horizontal="center" vertical="top"/>
    </xf>
    <xf numFmtId="0" fontId="10" fillId="5" borderId="5" xfId="0" applyFont="1" applyFill="1" applyBorder="1"/>
    <xf numFmtId="0" fontId="10" fillId="5" borderId="3" xfId="0" applyFont="1" applyFill="1" applyBorder="1" applyAlignment="1">
      <alignment horizontal="left"/>
    </xf>
    <xf numFmtId="165" fontId="10" fillId="5" borderId="1" xfId="0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/>
    <xf numFmtId="0" fontId="10" fillId="5" borderId="1" xfId="0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 vertical="center"/>
    </xf>
    <xf numFmtId="0" fontId="10" fillId="6" borderId="9" xfId="0" applyFont="1" applyFill="1" applyBorder="1" applyAlignment="1">
      <alignment horizontal="left"/>
    </xf>
    <xf numFmtId="0" fontId="10" fillId="6" borderId="5" xfId="0" applyFont="1" applyFill="1" applyBorder="1" applyAlignment="1">
      <alignment wrapText="1"/>
    </xf>
    <xf numFmtId="165" fontId="10" fillId="6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right"/>
    </xf>
    <xf numFmtId="0" fontId="10" fillId="6" borderId="7" xfId="0" applyFont="1" applyFill="1" applyBorder="1" applyAlignment="1">
      <alignment horizontal="left"/>
    </xf>
    <xf numFmtId="0" fontId="18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top"/>
    </xf>
    <xf numFmtId="0" fontId="10" fillId="6" borderId="1" xfId="0" applyFont="1" applyFill="1" applyBorder="1"/>
    <xf numFmtId="0" fontId="19" fillId="6" borderId="1" xfId="0" applyFont="1" applyFill="1" applyBorder="1" applyAlignment="1">
      <alignment horizontal="left" vertical="center"/>
    </xf>
    <xf numFmtId="165" fontId="10" fillId="5" borderId="3" xfId="0" applyNumberFormat="1" applyFont="1" applyFill="1" applyBorder="1" applyAlignment="1">
      <alignment horizontal="left"/>
    </xf>
    <xf numFmtId="1" fontId="10" fillId="5" borderId="5" xfId="0" applyNumberFormat="1" applyFont="1" applyFill="1" applyBorder="1" applyAlignment="1">
      <alignment horizontal="right"/>
    </xf>
    <xf numFmtId="0" fontId="21" fillId="5" borderId="3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center"/>
    </xf>
    <xf numFmtId="0" fontId="10" fillId="5" borderId="0" xfId="0" applyFont="1" applyFill="1"/>
    <xf numFmtId="0" fontId="10" fillId="5" borderId="1" xfId="0" applyFont="1" applyFill="1" applyBorder="1" applyAlignment="1">
      <alignment wrapText="1"/>
    </xf>
    <xf numFmtId="164" fontId="10" fillId="5" borderId="3" xfId="0" applyNumberFormat="1" applyFont="1" applyFill="1" applyBorder="1" applyAlignment="1">
      <alignment horizontal="left"/>
    </xf>
    <xf numFmtId="0" fontId="10" fillId="7" borderId="0" xfId="0" applyFont="1" applyFill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" xfId="0" applyFont="1" applyFill="1" applyBorder="1"/>
    <xf numFmtId="0" fontId="10" fillId="7" borderId="3" xfId="0" applyFont="1" applyFill="1" applyBorder="1" applyAlignment="1">
      <alignment horizontal="left"/>
    </xf>
    <xf numFmtId="165" fontId="10" fillId="7" borderId="3" xfId="0" applyNumberFormat="1" applyFont="1" applyFill="1" applyBorder="1" applyAlignment="1">
      <alignment horizontal="left"/>
    </xf>
    <xf numFmtId="1" fontId="10" fillId="7" borderId="5" xfId="0" applyNumberFormat="1" applyFont="1" applyFill="1" applyBorder="1" applyAlignment="1">
      <alignment horizontal="right"/>
    </xf>
    <xf numFmtId="0" fontId="10" fillId="7" borderId="3" xfId="0" applyFont="1" applyFill="1" applyBorder="1" applyAlignment="1">
      <alignment horizontal="left" vertical="top"/>
    </xf>
    <xf numFmtId="0" fontId="10" fillId="7" borderId="2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/>
    <xf numFmtId="0" fontId="10" fillId="8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" xfId="0" applyFont="1" applyFill="1" applyBorder="1"/>
    <xf numFmtId="0" fontId="10" fillId="8" borderId="3" xfId="0" applyFont="1" applyFill="1" applyBorder="1" applyAlignment="1">
      <alignment horizontal="left" vertical="top"/>
    </xf>
    <xf numFmtId="165" fontId="10" fillId="8" borderId="3" xfId="0" applyNumberFormat="1" applyFont="1" applyFill="1" applyBorder="1" applyAlignment="1">
      <alignment horizontal="left"/>
    </xf>
    <xf numFmtId="1" fontId="10" fillId="8" borderId="5" xfId="0" applyNumberFormat="1" applyFont="1" applyFill="1" applyBorder="1" applyAlignment="1">
      <alignment horizontal="right"/>
    </xf>
    <xf numFmtId="0" fontId="22" fillId="8" borderId="3" xfId="0" applyFont="1" applyFill="1" applyBorder="1" applyAlignment="1">
      <alignment horizontal="left" vertical="top"/>
    </xf>
    <xf numFmtId="0" fontId="10" fillId="8" borderId="3" xfId="0" applyFont="1" applyFill="1" applyBorder="1" applyAlignment="1">
      <alignment horizontal="left"/>
    </xf>
    <xf numFmtId="0" fontId="10" fillId="8" borderId="2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/>
    <xf numFmtId="0" fontId="10" fillId="8" borderId="2" xfId="0" applyFont="1" applyFill="1" applyBorder="1" applyAlignment="1">
      <alignment horizontal="left"/>
    </xf>
    <xf numFmtId="0" fontId="23" fillId="5" borderId="3" xfId="0" applyFont="1" applyFill="1" applyBorder="1" applyAlignment="1">
      <alignment horizontal="left" vertical="top"/>
    </xf>
    <xf numFmtId="0" fontId="10" fillId="5" borderId="7" xfId="0" applyFont="1" applyFill="1" applyBorder="1" applyAlignment="1">
      <alignment horizontal="left" vertical="top"/>
    </xf>
    <xf numFmtId="0" fontId="24" fillId="5" borderId="3" xfId="0" applyFont="1" applyFill="1" applyBorder="1" applyAlignment="1">
      <alignment horizontal="left" vertical="top"/>
    </xf>
    <xf numFmtId="0" fontId="25" fillId="8" borderId="3" xfId="0" applyFont="1" applyFill="1" applyBorder="1" applyAlignment="1">
      <alignment horizontal="left"/>
    </xf>
    <xf numFmtId="3" fontId="10" fillId="8" borderId="3" xfId="0" applyNumberFormat="1" applyFont="1" applyFill="1" applyBorder="1" applyAlignment="1">
      <alignment horizontal="left"/>
    </xf>
    <xf numFmtId="0" fontId="26" fillId="8" borderId="3" xfId="0" applyFont="1" applyFill="1" applyBorder="1" applyAlignment="1">
      <alignment horizontal="left"/>
    </xf>
    <xf numFmtId="0" fontId="10" fillId="8" borderId="7" xfId="0" applyFont="1" applyFill="1" applyBorder="1" applyAlignment="1">
      <alignment horizontal="left"/>
    </xf>
    <xf numFmtId="3" fontId="10" fillId="5" borderId="3" xfId="0" applyNumberFormat="1" applyFont="1" applyFill="1" applyBorder="1" applyAlignment="1">
      <alignment horizontal="left"/>
    </xf>
    <xf numFmtId="0" fontId="26" fillId="5" borderId="3" xfId="0" applyFont="1" applyFill="1" applyBorder="1" applyAlignment="1">
      <alignment horizontal="left"/>
    </xf>
    <xf numFmtId="0" fontId="34" fillId="8" borderId="3" xfId="1" applyFill="1" applyBorder="1" applyAlignment="1">
      <alignment horizontal="left"/>
    </xf>
    <xf numFmtId="0" fontId="34" fillId="5" borderId="3" xfId="1" applyFill="1" applyBorder="1" applyAlignment="1">
      <alignment horizontal="left"/>
    </xf>
    <xf numFmtId="0" fontId="27" fillId="5" borderId="1" xfId="0" applyFont="1" applyFill="1" applyBorder="1" applyAlignment="1">
      <alignment horizontal="center"/>
    </xf>
    <xf numFmtId="0" fontId="28" fillId="8" borderId="3" xfId="0" applyFont="1" applyFill="1" applyBorder="1" applyAlignment="1">
      <alignment horizontal="left"/>
    </xf>
    <xf numFmtId="0" fontId="10" fillId="9" borderId="0" xfId="0" applyFont="1" applyFill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/>
    <xf numFmtId="0" fontId="10" fillId="9" borderId="3" xfId="0" applyFont="1" applyFill="1" applyBorder="1" applyAlignment="1">
      <alignment horizontal="left"/>
    </xf>
    <xf numFmtId="165" fontId="10" fillId="9" borderId="3" xfId="0" applyNumberFormat="1" applyFont="1" applyFill="1" applyBorder="1" applyAlignment="1">
      <alignment horizontal="left"/>
    </xf>
    <xf numFmtId="1" fontId="10" fillId="9" borderId="5" xfId="0" applyNumberFormat="1" applyFont="1" applyFill="1" applyBorder="1" applyAlignment="1">
      <alignment horizontal="right"/>
    </xf>
    <xf numFmtId="0" fontId="10" fillId="9" borderId="3" xfId="0" applyFont="1" applyFill="1" applyBorder="1" applyAlignment="1">
      <alignment horizontal="left" vertical="top"/>
    </xf>
    <xf numFmtId="0" fontId="10" fillId="9" borderId="2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/>
    <xf numFmtId="0" fontId="10" fillId="5" borderId="3" xfId="0" applyFont="1" applyFill="1" applyBorder="1"/>
    <xf numFmtId="11" fontId="10" fillId="5" borderId="3" xfId="0" applyNumberFormat="1" applyFont="1" applyFill="1" applyBorder="1" applyAlignment="1">
      <alignment horizontal="left"/>
    </xf>
    <xf numFmtId="0" fontId="10" fillId="5" borderId="10" xfId="0" applyFont="1" applyFill="1" applyBorder="1" applyAlignment="1">
      <alignment horizontal="left"/>
    </xf>
    <xf numFmtId="0" fontId="10" fillId="5" borderId="6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165" fontId="10" fillId="5" borderId="6" xfId="0" applyNumberFormat="1" applyFont="1" applyFill="1" applyBorder="1" applyAlignment="1">
      <alignment horizontal="left"/>
    </xf>
    <xf numFmtId="165" fontId="10" fillId="5" borderId="2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39" fillId="12" borderId="17" xfId="0" applyFont="1" applyFill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40" fillId="0" borderId="0" xfId="0" applyFont="1"/>
    <xf numFmtId="0" fontId="39" fillId="0" borderId="0" xfId="0" applyFont="1" applyAlignment="1">
      <alignment horizontal="center" vertical="center"/>
    </xf>
    <xf numFmtId="14" fontId="39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4" fontId="39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 wrapText="1"/>
    </xf>
    <xf numFmtId="164" fontId="39" fillId="0" borderId="1" xfId="0" applyNumberFormat="1" applyFont="1" applyBorder="1" applyAlignment="1">
      <alignment horizontal="center"/>
    </xf>
    <xf numFmtId="1" fontId="39" fillId="0" borderId="17" xfId="0" applyNumberFormat="1" applyFont="1" applyBorder="1" applyAlignment="1">
      <alignment horizontal="center" vertical="center"/>
    </xf>
    <xf numFmtId="165" fontId="39" fillId="0" borderId="1" xfId="0" applyNumberFormat="1" applyFont="1" applyBorder="1" applyAlignment="1">
      <alignment horizontal="center"/>
    </xf>
    <xf numFmtId="164" fontId="39" fillId="0" borderId="1" xfId="0" applyNumberFormat="1" applyFont="1" applyBorder="1" applyAlignment="1">
      <alignment horizontal="center" vertical="top"/>
    </xf>
    <xf numFmtId="165" fontId="39" fillId="0" borderId="1" xfId="0" applyNumberFormat="1" applyFont="1" applyBorder="1" applyAlignment="1">
      <alignment horizontal="center" vertical="top"/>
    </xf>
    <xf numFmtId="0" fontId="39" fillId="0" borderId="1" xfId="0" applyFont="1" applyBorder="1" applyAlignment="1">
      <alignment horizontal="center" vertical="top"/>
    </xf>
    <xf numFmtId="165" fontId="39" fillId="0" borderId="4" xfId="0" applyNumberFormat="1" applyFont="1" applyBorder="1" applyAlignment="1">
      <alignment horizontal="center" vertical="top"/>
    </xf>
    <xf numFmtId="0" fontId="39" fillId="0" borderId="1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7" fillId="0" borderId="13" xfId="2"/>
    <xf numFmtId="0" fontId="7" fillId="0" borderId="26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14" fontId="39" fillId="11" borderId="17" xfId="0" applyNumberFormat="1" applyFont="1" applyFill="1" applyBorder="1" applyAlignment="1">
      <alignment horizontal="center" vertical="center"/>
    </xf>
    <xf numFmtId="14" fontId="39" fillId="14" borderId="17" xfId="0" applyNumberFormat="1" applyFont="1" applyFill="1" applyBorder="1" applyAlignment="1">
      <alignment horizontal="center" vertical="center"/>
    </xf>
    <xf numFmtId="14" fontId="39" fillId="10" borderId="17" xfId="0" applyNumberFormat="1" applyFont="1" applyFill="1" applyBorder="1" applyAlignment="1">
      <alignment horizontal="center" vertical="center"/>
    </xf>
    <xf numFmtId="14" fontId="39" fillId="12" borderId="17" xfId="0" applyNumberFormat="1" applyFont="1" applyFill="1" applyBorder="1" applyAlignment="1">
      <alignment horizontal="center" vertical="center"/>
    </xf>
    <xf numFmtId="14" fontId="39" fillId="10" borderId="16" xfId="0" applyNumberFormat="1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165" fontId="7" fillId="13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5" fontId="7" fillId="13" borderId="14" xfId="0" applyNumberFormat="1" applyFont="1" applyFill="1" applyBorder="1" applyAlignment="1">
      <alignment horizontal="center" vertical="center"/>
    </xf>
    <xf numFmtId="164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/>
    </xf>
    <xf numFmtId="0" fontId="39" fillId="10" borderId="16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4" fontId="39" fillId="13" borderId="16" xfId="0" applyNumberFormat="1" applyFont="1" applyFill="1" applyBorder="1" applyAlignment="1">
      <alignment horizontal="center" vertical="center"/>
    </xf>
    <xf numFmtId="14" fontId="39" fillId="13" borderId="17" xfId="0" applyNumberFormat="1" applyFont="1" applyFill="1" applyBorder="1" applyAlignment="1">
      <alignment horizontal="center" vertical="center"/>
    </xf>
    <xf numFmtId="14" fontId="39" fillId="14" borderId="16" xfId="0" applyNumberFormat="1" applyFont="1" applyFill="1" applyBorder="1" applyAlignment="1">
      <alignment horizontal="center" vertical="center"/>
    </xf>
    <xf numFmtId="0" fontId="39" fillId="11" borderId="17" xfId="0" applyFont="1" applyFill="1" applyBorder="1" applyAlignment="1">
      <alignment horizontal="center" vertical="center"/>
    </xf>
    <xf numFmtId="1" fontId="39" fillId="11" borderId="17" xfId="0" applyNumberFormat="1" applyFont="1" applyFill="1" applyBorder="1" applyAlignment="1">
      <alignment horizontal="center" vertical="center"/>
    </xf>
    <xf numFmtId="0" fontId="39" fillId="14" borderId="17" xfId="0" applyFont="1" applyFill="1" applyBorder="1" applyAlignment="1">
      <alignment horizontal="center" vertical="center"/>
    </xf>
    <xf numFmtId="0" fontId="39" fillId="10" borderId="17" xfId="0" applyFont="1" applyFill="1" applyBorder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0" fontId="39" fillId="0" borderId="13" xfId="0" applyFont="1" applyBorder="1" applyAlignment="1">
      <alignment vertical="center"/>
    </xf>
    <xf numFmtId="0" fontId="39" fillId="0" borderId="0" xfId="0" applyFont="1" applyAlignment="1">
      <alignment horizontal="left" vertical="center" indent="1"/>
    </xf>
    <xf numFmtId="0" fontId="39" fillId="13" borderId="17" xfId="0" applyFont="1" applyFill="1" applyBorder="1" applyAlignment="1">
      <alignment horizontal="center" vertical="center"/>
    </xf>
    <xf numFmtId="0" fontId="39" fillId="13" borderId="15" xfId="0" applyFont="1" applyFill="1" applyBorder="1" applyAlignment="1">
      <alignment horizontal="center" vertical="center"/>
    </xf>
    <xf numFmtId="0" fontId="39" fillId="12" borderId="16" xfId="0" applyFont="1" applyFill="1" applyBorder="1" applyAlignment="1">
      <alignment horizontal="center" vertical="center"/>
    </xf>
    <xf numFmtId="0" fontId="39" fillId="13" borderId="16" xfId="0" applyFont="1" applyFill="1" applyBorder="1" applyAlignment="1">
      <alignment horizontal="center" vertical="center"/>
    </xf>
    <xf numFmtId="0" fontId="39" fillId="14" borderId="16" xfId="0" applyFont="1" applyFill="1" applyBorder="1" applyAlignment="1">
      <alignment horizontal="center" vertical="center"/>
    </xf>
    <xf numFmtId="0" fontId="44" fillId="14" borderId="1" xfId="0" applyFont="1" applyFill="1" applyBorder="1"/>
    <xf numFmtId="0" fontId="7" fillId="0" borderId="13" xfId="0" applyFont="1" applyBorder="1" applyAlignment="1">
      <alignment horizontal="center" vertical="center"/>
    </xf>
    <xf numFmtId="0" fontId="39" fillId="15" borderId="1" xfId="0" applyFont="1" applyFill="1" applyBorder="1" applyAlignment="1">
      <alignment horizontal="center" vertical="center"/>
    </xf>
    <xf numFmtId="0" fontId="7" fillId="0" borderId="13" xfId="2" applyAlignment="1">
      <alignment horizont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0" borderId="13" xfId="2" applyAlignment="1">
      <alignment horizontal="center" vertical="center"/>
    </xf>
    <xf numFmtId="0" fontId="7" fillId="13" borderId="14" xfId="0" applyFont="1" applyFill="1" applyBorder="1" applyAlignment="1">
      <alignment horizontal="center" vertical="center"/>
    </xf>
    <xf numFmtId="0" fontId="44" fillId="1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12" borderId="17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39" fillId="11" borderId="19" xfId="0" applyFont="1" applyFill="1" applyBorder="1" applyAlignment="1">
      <alignment horizontal="center" vertical="center"/>
    </xf>
    <xf numFmtId="0" fontId="39" fillId="14" borderId="19" xfId="0" applyFont="1" applyFill="1" applyBorder="1" applyAlignment="1">
      <alignment horizontal="center" vertical="center"/>
    </xf>
    <xf numFmtId="0" fontId="39" fillId="10" borderId="19" xfId="0" applyFont="1" applyFill="1" applyBorder="1" applyAlignment="1">
      <alignment horizontal="center" vertical="center"/>
    </xf>
    <xf numFmtId="0" fontId="39" fillId="12" borderId="19" xfId="0" applyFont="1" applyFill="1" applyBorder="1" applyAlignment="1">
      <alignment horizontal="center" vertical="center"/>
    </xf>
    <xf numFmtId="0" fontId="39" fillId="13" borderId="19" xfId="0" applyFont="1" applyFill="1" applyBorder="1" applyAlignment="1">
      <alignment horizontal="center" vertical="center"/>
    </xf>
    <xf numFmtId="0" fontId="39" fillId="13" borderId="22" xfId="0" applyFont="1" applyFill="1" applyBorder="1" applyAlignment="1">
      <alignment horizontal="center" vertical="center"/>
    </xf>
    <xf numFmtId="0" fontId="39" fillId="10" borderId="21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39" fillId="13" borderId="21" xfId="0" applyFont="1" applyFill="1" applyBorder="1" applyAlignment="1">
      <alignment horizontal="center" vertical="center"/>
    </xf>
    <xf numFmtId="0" fontId="39" fillId="14" borderId="21" xfId="0" applyFont="1" applyFill="1" applyBorder="1" applyAlignment="1">
      <alignment horizontal="center" vertical="center"/>
    </xf>
    <xf numFmtId="0" fontId="37" fillId="0" borderId="13" xfId="0" applyFont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7" fillId="13" borderId="26" xfId="0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14" borderId="26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1" fontId="39" fillId="13" borderId="17" xfId="0" applyNumberFormat="1" applyFont="1" applyFill="1" applyBorder="1" applyAlignment="1">
      <alignment horizontal="center" vertical="center"/>
    </xf>
    <xf numFmtId="1" fontId="39" fillId="14" borderId="17" xfId="0" applyNumberFormat="1" applyFont="1" applyFill="1" applyBorder="1" applyAlignment="1">
      <alignment horizontal="center" vertical="center"/>
    </xf>
    <xf numFmtId="14" fontId="39" fillId="14" borderId="0" xfId="0" applyNumberFormat="1" applyFont="1" applyFill="1" applyAlignment="1">
      <alignment horizontal="center" vertical="center"/>
    </xf>
    <xf numFmtId="0" fontId="38" fillId="0" borderId="13" xfId="0" applyFont="1" applyBorder="1" applyAlignment="1">
      <alignment vertical="center" wrapText="1"/>
    </xf>
    <xf numFmtId="0" fontId="39" fillId="13" borderId="5" xfId="0" applyFont="1" applyFill="1" applyBorder="1" applyAlignment="1">
      <alignment horizontal="left" vertical="top"/>
    </xf>
    <xf numFmtId="0" fontId="39" fillId="13" borderId="1" xfId="0" applyFont="1" applyFill="1" applyBorder="1" applyAlignment="1">
      <alignment horizontal="left" vertical="top"/>
    </xf>
    <xf numFmtId="0" fontId="39" fillId="13" borderId="0" xfId="0" applyFont="1" applyFill="1"/>
    <xf numFmtId="0" fontId="39" fillId="13" borderId="4" xfId="0" applyFont="1" applyFill="1" applyBorder="1" applyAlignment="1">
      <alignment horizontal="left" vertical="top"/>
    </xf>
    <xf numFmtId="0" fontId="39" fillId="13" borderId="4" xfId="0" applyFont="1" applyFill="1" applyBorder="1"/>
    <xf numFmtId="0" fontId="39" fillId="13" borderId="1" xfId="0" applyFont="1" applyFill="1" applyBorder="1" applyAlignment="1">
      <alignment horizontal="left"/>
    </xf>
    <xf numFmtId="0" fontId="39" fillId="13" borderId="1" xfId="0" applyFont="1" applyFill="1" applyBorder="1"/>
    <xf numFmtId="0" fontId="44" fillId="13" borderId="1" xfId="0" applyFont="1" applyFill="1" applyBorder="1" applyAlignment="1">
      <alignment horizontal="left" vertical="top"/>
    </xf>
    <xf numFmtId="0" fontId="39" fillId="18" borderId="1" xfId="0" applyFont="1" applyFill="1" applyBorder="1"/>
    <xf numFmtId="0" fontId="39" fillId="19" borderId="1" xfId="0" applyFont="1" applyFill="1" applyBorder="1"/>
    <xf numFmtId="0" fontId="39" fillId="14" borderId="1" xfId="0" applyFont="1" applyFill="1" applyBorder="1"/>
    <xf numFmtId="0" fontId="39" fillId="14" borderId="1" xfId="0" applyFont="1" applyFill="1" applyBorder="1" applyAlignment="1">
      <alignment horizontal="left"/>
    </xf>
    <xf numFmtId="0" fontId="39" fillId="14" borderId="1" xfId="0" applyFont="1" applyFill="1" applyBorder="1" applyAlignment="1">
      <alignment horizontal="left" vertical="top"/>
    </xf>
    <xf numFmtId="0" fontId="44" fillId="14" borderId="1" xfId="0" applyFont="1" applyFill="1" applyBorder="1" applyAlignment="1">
      <alignment horizontal="left" vertical="top"/>
    </xf>
    <xf numFmtId="0" fontId="39" fillId="19" borderId="1" xfId="0" applyFont="1" applyFill="1" applyBorder="1" applyAlignment="1">
      <alignment horizontal="left"/>
    </xf>
    <xf numFmtId="0" fontId="39" fillId="21" borderId="1" xfId="0" applyFont="1" applyFill="1" applyBorder="1"/>
    <xf numFmtId="0" fontId="39" fillId="20" borderId="1" xfId="0" applyFont="1" applyFill="1" applyBorder="1"/>
    <xf numFmtId="0" fontId="39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left" vertical="top"/>
    </xf>
    <xf numFmtId="0" fontId="39" fillId="20" borderId="11" xfId="0" applyFont="1" applyFill="1" applyBorder="1" applyAlignment="1">
      <alignment horizontal="left"/>
    </xf>
    <xf numFmtId="0" fontId="39" fillId="20" borderId="11" xfId="0" applyFont="1" applyFill="1" applyBorder="1"/>
    <xf numFmtId="0" fontId="39" fillId="10" borderId="1" xfId="0" applyFont="1" applyFill="1" applyBorder="1"/>
    <xf numFmtId="0" fontId="39" fillId="10" borderId="1" xfId="0" applyFont="1" applyFill="1" applyBorder="1" applyAlignment="1">
      <alignment horizontal="left"/>
    </xf>
    <xf numFmtId="0" fontId="44" fillId="10" borderId="1" xfId="0" applyFont="1" applyFill="1" applyBorder="1"/>
    <xf numFmtId="0" fontId="39" fillId="23" borderId="1" xfId="0" applyFont="1" applyFill="1" applyBorder="1"/>
    <xf numFmtId="0" fontId="39" fillId="24" borderId="1" xfId="0" applyFont="1" applyFill="1" applyBorder="1"/>
    <xf numFmtId="0" fontId="39" fillId="12" borderId="1" xfId="0" applyFont="1" applyFill="1" applyBorder="1"/>
    <xf numFmtId="0" fontId="39" fillId="12" borderId="1" xfId="0" applyFont="1" applyFill="1" applyBorder="1" applyAlignment="1">
      <alignment horizontal="left" vertical="top"/>
    </xf>
    <xf numFmtId="0" fontId="39" fillId="12" borderId="1" xfId="0" applyFont="1" applyFill="1" applyBorder="1" applyAlignment="1">
      <alignment horizontal="left"/>
    </xf>
    <xf numFmtId="0" fontId="44" fillId="12" borderId="1" xfId="0" applyFont="1" applyFill="1" applyBorder="1"/>
    <xf numFmtId="0" fontId="39" fillId="22" borderId="1" xfId="0" applyFont="1" applyFill="1" applyBorder="1"/>
    <xf numFmtId="0" fontId="39" fillId="25" borderId="1" xfId="0" applyFont="1" applyFill="1" applyBorder="1" applyAlignment="1">
      <alignment horizontal="left"/>
    </xf>
    <xf numFmtId="0" fontId="39" fillId="26" borderId="1" xfId="0" applyFont="1" applyFill="1" applyBorder="1" applyAlignment="1">
      <alignment horizontal="left"/>
    </xf>
    <xf numFmtId="0" fontId="39" fillId="26" borderId="1" xfId="0" applyFont="1" applyFill="1" applyBorder="1"/>
    <xf numFmtId="0" fontId="44" fillId="13" borderId="1" xfId="0" applyFont="1" applyFill="1" applyBorder="1"/>
    <xf numFmtId="0" fontId="39" fillId="18" borderId="1" xfId="0" applyFont="1" applyFill="1" applyBorder="1" applyAlignment="1">
      <alignment vertical="top"/>
    </xf>
    <xf numFmtId="0" fontId="39" fillId="16" borderId="1" xfId="0" applyFont="1" applyFill="1" applyBorder="1"/>
    <xf numFmtId="0" fontId="39" fillId="17" borderId="1" xfId="0" applyFont="1" applyFill="1" applyBorder="1" applyAlignment="1">
      <alignment horizontal="left"/>
    </xf>
    <xf numFmtId="0" fontId="39" fillId="20" borderId="1" xfId="0" applyFont="1" applyFill="1" applyBorder="1" applyAlignment="1">
      <alignment horizontal="left"/>
    </xf>
    <xf numFmtId="0" fontId="39" fillId="24" borderId="1" xfId="0" applyFont="1" applyFill="1" applyBorder="1" applyAlignment="1">
      <alignment horizontal="left"/>
    </xf>
    <xf numFmtId="14" fontId="39" fillId="13" borderId="0" xfId="0" applyNumberFormat="1" applyFont="1" applyFill="1" applyAlignment="1">
      <alignment horizontal="center" vertical="center"/>
    </xf>
    <xf numFmtId="1" fontId="39" fillId="10" borderId="17" xfId="0" applyNumberFormat="1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1" fontId="39" fillId="12" borderId="17" xfId="0" applyNumberFormat="1" applyFont="1" applyFill="1" applyBorder="1" applyAlignment="1">
      <alignment horizontal="center" vertical="center"/>
    </xf>
    <xf numFmtId="0" fontId="7" fillId="12" borderId="26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6" fillId="0" borderId="13" xfId="2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" fontId="35" fillId="0" borderId="17" xfId="0" applyNumberFormat="1" applyFont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4" fontId="35" fillId="0" borderId="17" xfId="0" applyNumberFormat="1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35" fillId="0" borderId="13" xfId="2" applyFont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9" fillId="14" borderId="17" xfId="0" quotePrefix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0" fontId="5" fillId="0" borderId="17" xfId="0" quotePrefix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0" fontId="5" fillId="0" borderId="15" xfId="0" quotePrefix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2" applyFont="1"/>
    <xf numFmtId="0" fontId="45" fillId="0" borderId="0" xfId="0" applyFont="1"/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0" fontId="5" fillId="0" borderId="13" xfId="2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3" xfId="2" applyFont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26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26" xfId="0" applyFont="1" applyFill="1" applyBorder="1" applyAlignment="1">
      <alignment horizontal="center" vertical="center"/>
    </xf>
    <xf numFmtId="0" fontId="5" fillId="14" borderId="23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39" fillId="12" borderId="5" xfId="0" applyFont="1" applyFill="1" applyBorder="1" applyAlignment="1">
      <alignment horizontal="center" vertical="center"/>
    </xf>
    <xf numFmtId="0" fontId="39" fillId="12" borderId="3" xfId="0" applyFont="1" applyFill="1" applyBorder="1" applyAlignment="1">
      <alignment horizontal="center" vertical="center"/>
    </xf>
    <xf numFmtId="0" fontId="5" fillId="12" borderId="26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0" fontId="39" fillId="13" borderId="5" xfId="0" applyFont="1" applyFill="1" applyBorder="1" applyAlignment="1">
      <alignment horizontal="center" vertical="center"/>
    </xf>
    <xf numFmtId="0" fontId="39" fillId="13" borderId="3" xfId="0" applyFont="1" applyFill="1" applyBorder="1" applyAlignment="1">
      <alignment horizontal="center" vertical="center"/>
    </xf>
    <xf numFmtId="0" fontId="39" fillId="14" borderId="5" xfId="0" applyFont="1" applyFill="1" applyBorder="1" applyAlignment="1">
      <alignment horizontal="center" vertical="center"/>
    </xf>
    <xf numFmtId="0" fontId="39" fillId="14" borderId="3" xfId="0" applyFont="1" applyFill="1" applyBorder="1" applyAlignment="1">
      <alignment horizontal="center" vertical="center"/>
    </xf>
    <xf numFmtId="0" fontId="39" fillId="10" borderId="5" xfId="0" applyFont="1" applyFill="1" applyBorder="1" applyAlignment="1">
      <alignment horizontal="center" vertical="center"/>
    </xf>
    <xf numFmtId="0" fontId="39" fillId="10" borderId="3" xfId="0" applyFont="1" applyFill="1" applyBorder="1" applyAlignment="1">
      <alignment horizontal="center" vertical="center"/>
    </xf>
    <xf numFmtId="0" fontId="39" fillId="24" borderId="5" xfId="0" applyFont="1" applyFill="1" applyBorder="1" applyAlignment="1">
      <alignment horizontal="center" vertical="center"/>
    </xf>
    <xf numFmtId="0" fontId="39" fillId="24" borderId="3" xfId="0" applyFont="1" applyFill="1" applyBorder="1" applyAlignment="1">
      <alignment horizontal="center" vertical="center"/>
    </xf>
    <xf numFmtId="0" fontId="39" fillId="12" borderId="6" xfId="0" applyFont="1" applyFill="1" applyBorder="1" applyAlignment="1">
      <alignment horizontal="center" vertical="center"/>
    </xf>
    <xf numFmtId="0" fontId="39" fillId="14" borderId="9" xfId="0" applyFont="1" applyFill="1" applyBorder="1" applyAlignment="1">
      <alignment horizontal="center" vertical="center"/>
    </xf>
    <xf numFmtId="0" fontId="39" fillId="10" borderId="9" xfId="0" applyFont="1" applyFill="1" applyBorder="1" applyAlignment="1">
      <alignment horizontal="center" vertical="center"/>
    </xf>
    <xf numFmtId="0" fontId="39" fillId="12" borderId="9" xfId="0" applyFont="1" applyFill="1" applyBorder="1" applyAlignment="1">
      <alignment horizontal="center" vertical="center"/>
    </xf>
    <xf numFmtId="0" fontId="39" fillId="13" borderId="9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0" fontId="48" fillId="13" borderId="18" xfId="0" applyFont="1" applyFill="1" applyBorder="1" applyAlignment="1">
      <alignment horizontal="center" vertical="center"/>
    </xf>
    <xf numFmtId="0" fontId="39" fillId="13" borderId="18" xfId="0" applyFont="1" applyFill="1" applyBorder="1" applyAlignment="1">
      <alignment horizontal="center" vertical="center"/>
    </xf>
    <xf numFmtId="0" fontId="39" fillId="14" borderId="18" xfId="0" applyFont="1" applyFill="1" applyBorder="1" applyAlignment="1">
      <alignment horizontal="center" vertical="center"/>
    </xf>
    <xf numFmtId="0" fontId="39" fillId="13" borderId="4" xfId="0" applyFont="1" applyFill="1" applyBorder="1" applyAlignment="1">
      <alignment horizontal="center" vertical="center"/>
    </xf>
    <xf numFmtId="0" fontId="39" fillId="20" borderId="17" xfId="0" applyFont="1" applyFill="1" applyBorder="1" applyAlignment="1">
      <alignment horizontal="center" vertical="center"/>
    </xf>
    <xf numFmtId="166" fontId="39" fillId="14" borderId="17" xfId="0" quotePrefix="1" applyNumberFormat="1" applyFont="1" applyFill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9" fillId="4" borderId="1" xfId="0" applyFont="1" applyFill="1" applyBorder="1" applyAlignment="1">
      <alignment horizontal="left" vertical="center"/>
    </xf>
    <xf numFmtId="0" fontId="39" fillId="0" borderId="11" xfId="0" applyFont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5" fillId="0" borderId="13" xfId="2" applyFont="1" applyAlignment="1">
      <alignment vertical="center"/>
    </xf>
    <xf numFmtId="0" fontId="35" fillId="13" borderId="17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165" fontId="35" fillId="13" borderId="11" xfId="0" applyNumberFormat="1" applyFont="1" applyFill="1" applyBorder="1" applyAlignment="1">
      <alignment horizontal="center" vertical="center"/>
    </xf>
    <xf numFmtId="1" fontId="35" fillId="13" borderId="17" xfId="0" applyNumberFormat="1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35" fillId="13" borderId="26" xfId="0" applyFont="1" applyFill="1" applyBorder="1" applyAlignment="1">
      <alignment horizontal="center" vertical="center"/>
    </xf>
    <xf numFmtId="0" fontId="35" fillId="13" borderId="23" xfId="0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164" fontId="35" fillId="13" borderId="1" xfId="0" applyNumberFormat="1" applyFont="1" applyFill="1" applyBorder="1" applyAlignment="1">
      <alignment horizontal="center" vertical="center"/>
    </xf>
    <xf numFmtId="0" fontId="35" fillId="14" borderId="17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165" fontId="35" fillId="14" borderId="11" xfId="0" applyNumberFormat="1" applyFont="1" applyFill="1" applyBorder="1" applyAlignment="1">
      <alignment horizontal="center" vertical="center"/>
    </xf>
    <xf numFmtId="1" fontId="35" fillId="14" borderId="17" xfId="0" applyNumberFormat="1" applyFont="1" applyFill="1" applyBorder="1" applyAlignment="1">
      <alignment horizontal="center" vertical="center"/>
    </xf>
    <xf numFmtId="0" fontId="35" fillId="14" borderId="26" xfId="0" applyFont="1" applyFill="1" applyBorder="1" applyAlignment="1">
      <alignment horizontal="center" vertical="center"/>
    </xf>
    <xf numFmtId="0" fontId="35" fillId="14" borderId="23" xfId="0" applyFont="1" applyFill="1" applyBorder="1" applyAlignment="1">
      <alignment horizontal="center" vertical="center"/>
    </xf>
    <xf numFmtId="0" fontId="35" fillId="14" borderId="19" xfId="0" applyFont="1" applyFill="1" applyBorder="1" applyAlignment="1">
      <alignment horizontal="center" vertical="center"/>
    </xf>
    <xf numFmtId="0" fontId="35" fillId="29" borderId="1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0" fontId="35" fillId="10" borderId="17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65" fontId="35" fillId="10" borderId="11" xfId="0" applyNumberFormat="1" applyFont="1" applyFill="1" applyBorder="1" applyAlignment="1">
      <alignment horizontal="center" vertical="center"/>
    </xf>
    <xf numFmtId="1" fontId="35" fillId="10" borderId="17" xfId="0" applyNumberFormat="1" applyFont="1" applyFill="1" applyBorder="1" applyAlignment="1">
      <alignment horizontal="center" vertical="center"/>
    </xf>
    <xf numFmtId="0" fontId="35" fillId="30" borderId="1" xfId="0" applyFont="1" applyFill="1" applyBorder="1" applyAlignment="1">
      <alignment horizontal="center" vertical="center"/>
    </xf>
    <xf numFmtId="0" fontId="35" fillId="10" borderId="26" xfId="0" applyFont="1" applyFill="1" applyBorder="1" applyAlignment="1">
      <alignment horizontal="center" vertical="center"/>
    </xf>
    <xf numFmtId="0" fontId="35" fillId="10" borderId="23" xfId="0" applyFont="1" applyFill="1" applyBorder="1" applyAlignment="1">
      <alignment horizontal="center" vertical="center"/>
    </xf>
    <xf numFmtId="0" fontId="35" fillId="10" borderId="19" xfId="0" applyFont="1" applyFill="1" applyBorder="1" applyAlignment="1">
      <alignment horizontal="center" vertical="center"/>
    </xf>
    <xf numFmtId="0" fontId="35" fillId="12" borderId="17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165" fontId="35" fillId="12" borderId="11" xfId="0" applyNumberFormat="1" applyFont="1" applyFill="1" applyBorder="1" applyAlignment="1">
      <alignment horizontal="center" vertical="center"/>
    </xf>
    <xf numFmtId="1" fontId="35" fillId="12" borderId="17" xfId="0" applyNumberFormat="1" applyFont="1" applyFill="1" applyBorder="1" applyAlignment="1">
      <alignment horizontal="center" vertical="center"/>
    </xf>
    <xf numFmtId="0" fontId="42" fillId="12" borderId="1" xfId="0" applyFont="1" applyFill="1" applyBorder="1" applyAlignment="1">
      <alignment horizontal="center" vertical="center"/>
    </xf>
    <xf numFmtId="0" fontId="35" fillId="12" borderId="26" xfId="0" applyFont="1" applyFill="1" applyBorder="1" applyAlignment="1">
      <alignment horizontal="center" vertical="center"/>
    </xf>
    <xf numFmtId="0" fontId="35" fillId="12" borderId="23" xfId="0" applyFont="1" applyFill="1" applyBorder="1" applyAlignment="1">
      <alignment horizontal="center" vertical="center"/>
    </xf>
    <xf numFmtId="0" fontId="35" fillId="12" borderId="19" xfId="0" applyFont="1" applyFill="1" applyBorder="1" applyAlignment="1">
      <alignment horizontal="center" vertical="center"/>
    </xf>
    <xf numFmtId="165" fontId="35" fillId="12" borderId="1" xfId="0" applyNumberFormat="1" applyFont="1" applyFill="1" applyBorder="1" applyAlignment="1">
      <alignment horizontal="center" vertical="center"/>
    </xf>
    <xf numFmtId="0" fontId="35" fillId="2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5" fillId="13" borderId="17" xfId="0" applyFont="1" applyFill="1" applyBorder="1" applyAlignment="1">
      <alignment horizontal="center"/>
    </xf>
    <xf numFmtId="0" fontId="39" fillId="13" borderId="17" xfId="0" applyFont="1" applyFill="1" applyBorder="1" applyAlignment="1">
      <alignment horizontal="center" vertical="top"/>
    </xf>
    <xf numFmtId="0" fontId="5" fillId="13" borderId="17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top"/>
    </xf>
    <xf numFmtId="0" fontId="39" fillId="13" borderId="17" xfId="0" applyFont="1" applyFill="1" applyBorder="1" applyAlignment="1">
      <alignment horizontal="center"/>
    </xf>
    <xf numFmtId="0" fontId="5" fillId="14" borderId="17" xfId="0" applyFont="1" applyFill="1" applyBorder="1" applyAlignment="1">
      <alignment horizontal="center"/>
    </xf>
    <xf numFmtId="0" fontId="39" fillId="14" borderId="17" xfId="0" applyFont="1" applyFill="1" applyBorder="1" applyAlignment="1">
      <alignment horizontal="center" vertical="top"/>
    </xf>
    <xf numFmtId="0" fontId="5" fillId="14" borderId="17" xfId="0" applyFont="1" applyFill="1" applyBorder="1" applyAlignment="1">
      <alignment horizontal="center" vertical="center"/>
    </xf>
    <xf numFmtId="0" fontId="45" fillId="14" borderId="17" xfId="0" applyFont="1" applyFill="1" applyBorder="1" applyAlignment="1">
      <alignment horizontal="center"/>
    </xf>
    <xf numFmtId="0" fontId="49" fillId="14" borderId="17" xfId="0" applyFont="1" applyFill="1" applyBorder="1" applyAlignment="1">
      <alignment horizontal="center"/>
    </xf>
    <xf numFmtId="0" fontId="49" fillId="14" borderId="17" xfId="0" applyFont="1" applyFill="1" applyBorder="1" applyAlignment="1">
      <alignment horizontal="center" vertical="top"/>
    </xf>
    <xf numFmtId="0" fontId="5" fillId="10" borderId="17" xfId="0" applyFont="1" applyFill="1" applyBorder="1" applyAlignment="1">
      <alignment horizontal="center"/>
    </xf>
    <xf numFmtId="0" fontId="39" fillId="10" borderId="17" xfId="0" applyFont="1" applyFill="1" applyBorder="1" applyAlignment="1">
      <alignment horizontal="center" vertical="top"/>
    </xf>
    <xf numFmtId="0" fontId="5" fillId="10" borderId="17" xfId="0" applyFont="1" applyFill="1" applyBorder="1" applyAlignment="1">
      <alignment horizontal="center" vertical="center"/>
    </xf>
    <xf numFmtId="0" fontId="45" fillId="10" borderId="17" xfId="0" applyFont="1" applyFill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39" fillId="12" borderId="17" xfId="0" applyFont="1" applyFill="1" applyBorder="1" applyAlignment="1">
      <alignment horizontal="center" vertical="top"/>
    </xf>
    <xf numFmtId="0" fontId="5" fillId="12" borderId="17" xfId="0" applyFont="1" applyFill="1" applyBorder="1" applyAlignment="1">
      <alignment horizontal="center" vertical="center"/>
    </xf>
    <xf numFmtId="0" fontId="45" fillId="12" borderId="17" xfId="0" applyFont="1" applyFill="1" applyBorder="1" applyAlignment="1">
      <alignment horizontal="center"/>
    </xf>
    <xf numFmtId="0" fontId="45" fillId="13" borderId="17" xfId="0" applyFont="1" applyFill="1" applyBorder="1" applyAlignment="1">
      <alignment horizontal="center"/>
    </xf>
    <xf numFmtId="0" fontId="49" fillId="13" borderId="17" xfId="0" applyFont="1" applyFill="1" applyBorder="1" applyAlignment="1">
      <alignment horizontal="center" vertical="top"/>
    </xf>
    <xf numFmtId="0" fontId="49" fillId="10" borderId="17" xfId="0" applyFont="1" applyFill="1" applyBorder="1" applyAlignment="1">
      <alignment horizontal="center"/>
    </xf>
    <xf numFmtId="0" fontId="49" fillId="10" borderId="17" xfId="0" applyFont="1" applyFill="1" applyBorder="1" applyAlignment="1">
      <alignment horizontal="center" vertical="top"/>
    </xf>
    <xf numFmtId="0" fontId="39" fillId="0" borderId="24" xfId="0" applyFont="1" applyBorder="1" applyAlignment="1">
      <alignment horizontal="center" vertical="center"/>
    </xf>
    <xf numFmtId="14" fontId="39" fillId="0" borderId="15" xfId="0" applyNumberFormat="1" applyFont="1" applyBorder="1" applyAlignment="1">
      <alignment horizontal="center" vertical="center"/>
    </xf>
    <xf numFmtId="1" fontId="39" fillId="0" borderId="15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1" fontId="0" fillId="13" borderId="17" xfId="0" applyNumberFormat="1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1" fontId="0" fillId="14" borderId="17" xfId="0" applyNumberForma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1" fontId="0" fillId="10" borderId="17" xfId="0" applyNumberFormat="1" applyFill="1" applyBorder="1" applyAlignment="1">
      <alignment horizontal="center" vertical="center"/>
    </xf>
    <xf numFmtId="0" fontId="5" fillId="13" borderId="17" xfId="0" applyFont="1" applyFill="1" applyBorder="1"/>
    <xf numFmtId="0" fontId="39" fillId="13" borderId="17" xfId="0" applyFont="1" applyFill="1" applyBorder="1" applyAlignment="1">
      <alignment horizontal="left" vertical="top"/>
    </xf>
    <xf numFmtId="0" fontId="39" fillId="13" borderId="17" xfId="0" applyFont="1" applyFill="1" applyBorder="1" applyAlignment="1">
      <alignment horizontal="left"/>
    </xf>
    <xf numFmtId="0" fontId="5" fillId="13" borderId="17" xfId="0" applyFont="1" applyFill="1" applyBorder="1" applyAlignment="1">
      <alignment horizontal="left"/>
    </xf>
    <xf numFmtId="0" fontId="39" fillId="13" borderId="17" xfId="0" applyFont="1" applyFill="1" applyBorder="1" applyAlignment="1">
      <alignment horizontal="left" vertical="top" wrapText="1"/>
    </xf>
    <xf numFmtId="0" fontId="39" fillId="28" borderId="17" xfId="0" applyFont="1" applyFill="1" applyBorder="1" applyAlignment="1">
      <alignment horizontal="left" vertical="top"/>
    </xf>
    <xf numFmtId="0" fontId="39" fillId="14" borderId="17" xfId="0" applyFont="1" applyFill="1" applyBorder="1" applyAlignment="1">
      <alignment horizontal="left" vertical="top"/>
    </xf>
    <xf numFmtId="0" fontId="39" fillId="14" borderId="17" xfId="0" applyFont="1" applyFill="1" applyBorder="1" applyAlignment="1">
      <alignment horizontal="left" vertical="center"/>
    </xf>
    <xf numFmtId="0" fontId="39" fillId="10" borderId="17" xfId="0" applyFont="1" applyFill="1" applyBorder="1" applyAlignment="1">
      <alignment horizontal="left" vertical="center"/>
    </xf>
    <xf numFmtId="0" fontId="39" fillId="23" borderId="17" xfId="0" applyFont="1" applyFill="1" applyBorder="1"/>
    <xf numFmtId="0" fontId="39" fillId="23" borderId="17" xfId="0" applyFont="1" applyFill="1" applyBorder="1" applyAlignment="1">
      <alignment horizontal="left"/>
    </xf>
    <xf numFmtId="0" fontId="39" fillId="12" borderId="17" xfId="0" applyFont="1" applyFill="1" applyBorder="1"/>
    <xf numFmtId="0" fontId="39" fillId="12" borderId="17" xfId="0" applyFont="1" applyFill="1" applyBorder="1" applyAlignment="1">
      <alignment horizontal="left"/>
    </xf>
    <xf numFmtId="0" fontId="44" fillId="12" borderId="17" xfId="0" applyFont="1" applyFill="1" applyBorder="1"/>
    <xf numFmtId="0" fontId="39" fillId="16" borderId="17" xfId="0" applyFont="1" applyFill="1" applyBorder="1" applyAlignment="1">
      <alignment horizontal="left" vertical="center"/>
    </xf>
    <xf numFmtId="0" fontId="39" fillId="13" borderId="17" xfId="0" applyFont="1" applyFill="1" applyBorder="1" applyAlignment="1">
      <alignment horizontal="left" vertical="center"/>
    </xf>
    <xf numFmtId="0" fontId="39" fillId="13" borderId="15" xfId="0" applyFont="1" applyFill="1" applyBorder="1" applyAlignment="1">
      <alignment horizontal="left" vertical="center"/>
    </xf>
    <xf numFmtId="14" fontId="39" fillId="13" borderId="15" xfId="0" applyNumberFormat="1" applyFont="1" applyFill="1" applyBorder="1" applyAlignment="1">
      <alignment horizontal="center" vertical="center"/>
    </xf>
    <xf numFmtId="1" fontId="39" fillId="13" borderId="15" xfId="0" applyNumberFormat="1" applyFont="1" applyFill="1" applyBorder="1" applyAlignment="1">
      <alignment horizontal="center" vertical="center"/>
    </xf>
    <xf numFmtId="0" fontId="5" fillId="13" borderId="27" xfId="0" applyFont="1" applyFill="1" applyBorder="1" applyAlignment="1">
      <alignment horizontal="center" vertical="center"/>
    </xf>
    <xf numFmtId="0" fontId="5" fillId="13" borderId="28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0" fontId="10" fillId="28" borderId="17" xfId="0" applyFont="1" applyFill="1" applyBorder="1" applyAlignment="1">
      <alignment horizontal="center" vertical="center"/>
    </xf>
    <xf numFmtId="0" fontId="30" fillId="13" borderId="17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" fontId="0" fillId="12" borderId="17" xfId="0" applyNumberFormat="1" applyFill="1" applyBorder="1" applyAlignment="1">
      <alignment horizontal="center" vertical="center"/>
    </xf>
    <xf numFmtId="0" fontId="35" fillId="13" borderId="3" xfId="0" applyFont="1" applyFill="1" applyBorder="1" applyAlignment="1">
      <alignment horizontal="center" vertical="center"/>
    </xf>
    <xf numFmtId="14" fontId="35" fillId="13" borderId="17" xfId="0" applyNumberFormat="1" applyFont="1" applyFill="1" applyBorder="1" applyAlignment="1">
      <alignment horizontal="center" vertical="center"/>
    </xf>
    <xf numFmtId="0" fontId="35" fillId="13" borderId="3" xfId="0" applyFont="1" applyFill="1" applyBorder="1" applyAlignment="1">
      <alignment horizontal="center" vertical="top"/>
    </xf>
    <xf numFmtId="0" fontId="42" fillId="13" borderId="3" xfId="0" applyFont="1" applyFill="1" applyBorder="1" applyAlignment="1">
      <alignment horizontal="left"/>
    </xf>
    <xf numFmtId="0" fontId="35" fillId="13" borderId="3" xfId="0" applyFont="1" applyFill="1" applyBorder="1" applyAlignment="1">
      <alignment horizontal="left"/>
    </xf>
    <xf numFmtId="0" fontId="35" fillId="0" borderId="0" xfId="0" applyFont="1"/>
    <xf numFmtId="0" fontId="42" fillId="13" borderId="3" xfId="0" applyFont="1" applyFill="1" applyBorder="1" applyAlignment="1">
      <alignment horizontal="left" vertical="top"/>
    </xf>
    <xf numFmtId="0" fontId="35" fillId="0" borderId="13" xfId="2" applyFont="1"/>
    <xf numFmtId="0" fontId="35" fillId="14" borderId="3" xfId="0" applyFont="1" applyFill="1" applyBorder="1" applyAlignment="1">
      <alignment horizontal="center" vertical="center"/>
    </xf>
    <xf numFmtId="14" fontId="35" fillId="14" borderId="17" xfId="0" applyNumberFormat="1" applyFont="1" applyFill="1" applyBorder="1" applyAlignment="1">
      <alignment horizontal="center" vertical="center"/>
    </xf>
    <xf numFmtId="0" fontId="35" fillId="14" borderId="3" xfId="0" applyFont="1" applyFill="1" applyBorder="1" applyAlignment="1">
      <alignment horizontal="center" vertical="top"/>
    </xf>
    <xf numFmtId="0" fontId="35" fillId="14" borderId="3" xfId="0" applyFont="1" applyFill="1" applyBorder="1" applyAlignment="1">
      <alignment horizontal="left"/>
    </xf>
    <xf numFmtId="0" fontId="42" fillId="14" borderId="3" xfId="0" applyFont="1" applyFill="1" applyBorder="1" applyAlignment="1">
      <alignment horizontal="left" vertical="top"/>
    </xf>
    <xf numFmtId="0" fontId="35" fillId="14" borderId="0" xfId="0" applyFont="1" applyFill="1"/>
    <xf numFmtId="0" fontId="42" fillId="14" borderId="2" xfId="0" applyFont="1" applyFill="1" applyBorder="1" applyAlignment="1">
      <alignment horizontal="left" vertical="top"/>
    </xf>
    <xf numFmtId="0" fontId="35" fillId="10" borderId="3" xfId="0" applyFont="1" applyFill="1" applyBorder="1" applyAlignment="1">
      <alignment horizontal="center" vertical="center"/>
    </xf>
    <xf numFmtId="14" fontId="35" fillId="10" borderId="17" xfId="0" applyNumberFormat="1" applyFont="1" applyFill="1" applyBorder="1" applyAlignment="1">
      <alignment horizontal="center" vertical="center"/>
    </xf>
    <xf numFmtId="0" fontId="35" fillId="10" borderId="3" xfId="0" applyFont="1" applyFill="1" applyBorder="1" applyAlignment="1">
      <alignment horizontal="center"/>
    </xf>
    <xf numFmtId="0" fontId="42" fillId="10" borderId="3" xfId="0" applyFont="1" applyFill="1" applyBorder="1" applyAlignment="1">
      <alignment horizontal="left" vertical="top"/>
    </xf>
    <xf numFmtId="0" fontId="35" fillId="10" borderId="3" xfId="0" applyFont="1" applyFill="1" applyBorder="1" applyAlignment="1">
      <alignment horizontal="left"/>
    </xf>
    <xf numFmtId="0" fontId="35" fillId="12" borderId="3" xfId="0" applyFont="1" applyFill="1" applyBorder="1" applyAlignment="1">
      <alignment horizontal="center" vertical="center"/>
    </xf>
    <xf numFmtId="14" fontId="35" fillId="12" borderId="17" xfId="0" applyNumberFormat="1" applyFont="1" applyFill="1" applyBorder="1" applyAlignment="1">
      <alignment horizontal="center" vertical="center"/>
    </xf>
    <xf numFmtId="0" fontId="35" fillId="12" borderId="3" xfId="0" applyFont="1" applyFill="1" applyBorder="1" applyAlignment="1">
      <alignment horizontal="center"/>
    </xf>
    <xf numFmtId="0" fontId="42" fillId="12" borderId="3" xfId="0" applyFont="1" applyFill="1" applyBorder="1" applyAlignment="1">
      <alignment horizontal="left" vertical="top"/>
    </xf>
    <xf numFmtId="0" fontId="35" fillId="12" borderId="3" xfId="0" applyFont="1" applyFill="1" applyBorder="1" applyAlignment="1">
      <alignment horizontal="left"/>
    </xf>
    <xf numFmtId="0" fontId="35" fillId="12" borderId="3" xfId="0" applyFont="1" applyFill="1" applyBorder="1" applyAlignment="1">
      <alignment horizontal="center" vertical="top"/>
    </xf>
    <xf numFmtId="0" fontId="35" fillId="13" borderId="3" xfId="0" applyFont="1" applyFill="1" applyBorder="1" applyAlignment="1">
      <alignment horizontal="center"/>
    </xf>
    <xf numFmtId="0" fontId="35" fillId="0" borderId="0" xfId="0" applyFont="1" applyAlignment="1">
      <alignment horizontal="left" vertical="center" indent="1"/>
    </xf>
    <xf numFmtId="0" fontId="35" fillId="14" borderId="3" xfId="0" applyFont="1" applyFill="1" applyBorder="1" applyAlignment="1">
      <alignment horizontal="center"/>
    </xf>
    <xf numFmtId="0" fontId="42" fillId="10" borderId="3" xfId="0" applyFont="1" applyFill="1" applyBorder="1" applyAlignment="1">
      <alignment horizontal="left"/>
    </xf>
    <xf numFmtId="0" fontId="42" fillId="12" borderId="3" xfId="0" applyFont="1" applyFill="1" applyBorder="1" applyAlignment="1">
      <alignment horizontal="left"/>
    </xf>
    <xf numFmtId="0" fontId="35" fillId="10" borderId="3" xfId="0" applyFont="1" applyFill="1" applyBorder="1" applyAlignment="1">
      <alignment horizontal="center" vertical="top"/>
    </xf>
    <xf numFmtId="0" fontId="35" fillId="10" borderId="3" xfId="0" applyFont="1" applyFill="1" applyBorder="1" applyAlignment="1">
      <alignment horizontal="left" vertical="top"/>
    </xf>
    <xf numFmtId="0" fontId="35" fillId="12" borderId="1" xfId="0" applyFont="1" applyFill="1" applyBorder="1" applyAlignment="1">
      <alignment horizontal="center" vertical="top"/>
    </xf>
    <xf numFmtId="0" fontId="42" fillId="12" borderId="1" xfId="0" applyFont="1" applyFill="1" applyBorder="1" applyAlignment="1">
      <alignment horizontal="left" vertical="top"/>
    </xf>
    <xf numFmtId="0" fontId="35" fillId="12" borderId="1" xfId="0" applyFont="1" applyFill="1" applyBorder="1" applyAlignment="1">
      <alignment horizontal="center"/>
    </xf>
    <xf numFmtId="0" fontId="42" fillId="12" borderId="1" xfId="0" applyFont="1" applyFill="1" applyBorder="1"/>
    <xf numFmtId="0" fontId="35" fillId="12" borderId="2" xfId="0" applyFont="1" applyFill="1" applyBorder="1" applyAlignment="1">
      <alignment horizontal="left"/>
    </xf>
    <xf numFmtId="0" fontId="35" fillId="12" borderId="1" xfId="0" applyFont="1" applyFill="1" applyBorder="1"/>
    <xf numFmtId="0" fontId="35" fillId="0" borderId="25" xfId="0" applyFont="1" applyBorder="1" applyAlignment="1">
      <alignment horizontal="center" vertical="center"/>
    </xf>
    <xf numFmtId="0" fontId="31" fillId="17" borderId="1" xfId="0" applyFont="1" applyFill="1" applyBorder="1" applyAlignment="1">
      <alignment horizontal="center"/>
    </xf>
    <xf numFmtId="0" fontId="31" fillId="17" borderId="1" xfId="0" applyFont="1" applyFill="1" applyBorder="1" applyAlignment="1">
      <alignment horizontal="left"/>
    </xf>
    <xf numFmtId="0" fontId="31" fillId="17" borderId="3" xfId="0" applyFont="1" applyFill="1" applyBorder="1" applyAlignment="1">
      <alignment horizontal="center"/>
    </xf>
    <xf numFmtId="0" fontId="31" fillId="19" borderId="1" xfId="0" applyFont="1" applyFill="1" applyBorder="1" applyAlignment="1">
      <alignment horizontal="center"/>
    </xf>
    <xf numFmtId="0" fontId="31" fillId="19" borderId="1" xfId="0" applyFont="1" applyFill="1" applyBorder="1" applyAlignment="1">
      <alignment horizontal="left"/>
    </xf>
    <xf numFmtId="0" fontId="31" fillId="19" borderId="3" xfId="0" applyFont="1" applyFill="1" applyBorder="1" applyAlignment="1">
      <alignment horizontal="center"/>
    </xf>
    <xf numFmtId="0" fontId="31" fillId="20" borderId="1" xfId="0" applyFont="1" applyFill="1" applyBorder="1" applyAlignment="1">
      <alignment horizontal="center"/>
    </xf>
    <xf numFmtId="0" fontId="31" fillId="20" borderId="1" xfId="0" applyFont="1" applyFill="1" applyBorder="1" applyAlignment="1">
      <alignment horizontal="left"/>
    </xf>
    <xf numFmtId="0" fontId="31" fillId="20" borderId="0" xfId="0" applyFont="1" applyFill="1" applyAlignment="1">
      <alignment horizontal="center"/>
    </xf>
    <xf numFmtId="0" fontId="31" fillId="20" borderId="3" xfId="0" applyFont="1" applyFill="1" applyBorder="1" applyAlignment="1">
      <alignment horizontal="center"/>
    </xf>
    <xf numFmtId="0" fontId="31" fillId="24" borderId="1" xfId="0" applyFont="1" applyFill="1" applyBorder="1" applyAlignment="1">
      <alignment horizontal="center"/>
    </xf>
    <xf numFmtId="0" fontId="31" fillId="24" borderId="1" xfId="0" applyFont="1" applyFill="1" applyBorder="1" applyAlignment="1">
      <alignment horizontal="left"/>
    </xf>
    <xf numFmtId="0" fontId="31" fillId="24" borderId="3" xfId="0" applyFont="1" applyFill="1" applyBorder="1" applyAlignment="1">
      <alignment horizontal="center"/>
    </xf>
    <xf numFmtId="0" fontId="32" fillId="19" borderId="1" xfId="0" applyFont="1" applyFill="1" applyBorder="1" applyAlignment="1">
      <alignment horizontal="center"/>
    </xf>
    <xf numFmtId="14" fontId="31" fillId="17" borderId="1" xfId="0" applyNumberFormat="1" applyFont="1" applyFill="1" applyBorder="1" applyAlignment="1">
      <alignment horizontal="center"/>
    </xf>
    <xf numFmtId="14" fontId="31" fillId="19" borderId="1" xfId="0" applyNumberFormat="1" applyFont="1" applyFill="1" applyBorder="1" applyAlignment="1">
      <alignment horizontal="center"/>
    </xf>
    <xf numFmtId="14" fontId="31" fillId="20" borderId="1" xfId="0" applyNumberFormat="1" applyFont="1" applyFill="1" applyBorder="1" applyAlignment="1">
      <alignment horizontal="center"/>
    </xf>
    <xf numFmtId="14" fontId="31" fillId="24" borderId="1" xfId="0" applyNumberFormat="1" applyFont="1" applyFill="1" applyBorder="1" applyAlignment="1">
      <alignment horizontal="center"/>
    </xf>
    <xf numFmtId="0" fontId="0" fillId="12" borderId="19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left" vertical="top"/>
    </xf>
    <xf numFmtId="0" fontId="10" fillId="0" borderId="4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10" fillId="0" borderId="9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1" xfId="0" applyFont="1" applyBorder="1" applyAlignment="1">
      <alignment horizontal="right"/>
    </xf>
    <xf numFmtId="0" fontId="10" fillId="0" borderId="29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39" fillId="0" borderId="30" xfId="0" applyFont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164" fontId="13" fillId="19" borderId="1" xfId="0" applyNumberFormat="1" applyFont="1" applyFill="1" applyBorder="1" applyAlignment="1">
      <alignment horizontal="center" vertical="center"/>
    </xf>
    <xf numFmtId="165" fontId="13" fillId="19" borderId="1" xfId="0" applyNumberFormat="1" applyFont="1" applyFill="1" applyBorder="1" applyAlignment="1">
      <alignment horizontal="center" vertical="center"/>
    </xf>
    <xf numFmtId="165" fontId="13" fillId="14" borderId="1" xfId="0" applyNumberFormat="1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1" fontId="0" fillId="13" borderId="15" xfId="0" applyNumberFormat="1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165" fontId="13" fillId="13" borderId="1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1" fontId="0" fillId="14" borderId="15" xfId="0" applyNumberFormat="1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164" fontId="13" fillId="14" borderId="1" xfId="0" applyNumberFormat="1" applyFont="1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1" fontId="0" fillId="10" borderId="15" xfId="0" applyNumberFormat="1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164" fontId="13" fillId="12" borderId="1" xfId="0" applyNumberFormat="1" applyFon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1" fontId="0" fillId="12" borderId="15" xfId="0" applyNumberForma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165" fontId="13" fillId="12" borderId="1" xfId="0" applyNumberFormat="1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wrapText="1"/>
    </xf>
    <xf numFmtId="0" fontId="10" fillId="13" borderId="9" xfId="0" applyFont="1" applyFill="1" applyBorder="1" applyAlignment="1">
      <alignment horizontal="left"/>
    </xf>
    <xf numFmtId="165" fontId="10" fillId="13" borderId="9" xfId="0" applyNumberFormat="1" applyFont="1" applyFill="1" applyBorder="1" applyAlignment="1">
      <alignment horizontal="left"/>
    </xf>
    <xf numFmtId="0" fontId="17" fillId="13" borderId="9" xfId="0" applyFont="1" applyFill="1" applyBorder="1" applyAlignment="1">
      <alignment horizontal="left"/>
    </xf>
    <xf numFmtId="0" fontId="10" fillId="13" borderId="9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left"/>
    </xf>
    <xf numFmtId="0" fontId="10" fillId="13" borderId="1" xfId="0" applyFont="1" applyFill="1" applyBorder="1"/>
    <xf numFmtId="0" fontId="10" fillId="13" borderId="1" xfId="0" applyFont="1" applyFill="1" applyBorder="1" applyAlignment="1">
      <alignment wrapText="1"/>
    </xf>
    <xf numFmtId="0" fontId="10" fillId="13" borderId="2" xfId="0" applyFont="1" applyFill="1" applyBorder="1" applyAlignment="1">
      <alignment horizontal="left"/>
    </xf>
    <xf numFmtId="0" fontId="10" fillId="13" borderId="2" xfId="0" applyFont="1" applyFill="1" applyBorder="1" applyAlignment="1">
      <alignment horizontal="center"/>
    </xf>
    <xf numFmtId="164" fontId="10" fillId="13" borderId="9" xfId="0" applyNumberFormat="1" applyFont="1" applyFill="1" applyBorder="1" applyAlignment="1">
      <alignment horizontal="left"/>
    </xf>
    <xf numFmtId="0" fontId="10" fillId="17" borderId="9" xfId="0" applyFont="1" applyFill="1" applyBorder="1" applyAlignment="1">
      <alignment horizontal="left"/>
    </xf>
    <xf numFmtId="0" fontId="10" fillId="33" borderId="1" xfId="0" applyFont="1" applyFill="1" applyBorder="1"/>
    <xf numFmtId="0" fontId="10" fillId="33" borderId="9" xfId="0" applyFont="1" applyFill="1" applyBorder="1" applyAlignment="1">
      <alignment horizontal="left" vertical="top"/>
    </xf>
    <xf numFmtId="165" fontId="10" fillId="33" borderId="9" xfId="0" applyNumberFormat="1" applyFont="1" applyFill="1" applyBorder="1" applyAlignment="1">
      <alignment horizontal="left"/>
    </xf>
    <xf numFmtId="0" fontId="12" fillId="33" borderId="9" xfId="0" applyFont="1" applyFill="1" applyBorder="1" applyAlignment="1">
      <alignment horizontal="left" vertical="top"/>
    </xf>
    <xf numFmtId="0" fontId="10" fillId="33" borderId="9" xfId="0" applyFont="1" applyFill="1" applyBorder="1" applyAlignment="1">
      <alignment horizontal="left"/>
    </xf>
    <xf numFmtId="0" fontId="10" fillId="33" borderId="2" xfId="0" applyFont="1" applyFill="1" applyBorder="1" applyAlignment="1">
      <alignment horizontal="center"/>
    </xf>
    <xf numFmtId="0" fontId="10" fillId="14" borderId="1" xfId="0" applyFont="1" applyFill="1" applyBorder="1"/>
    <xf numFmtId="0" fontId="10" fillId="14" borderId="9" xfId="0" applyFont="1" applyFill="1" applyBorder="1" applyAlignment="1">
      <alignment horizontal="left" vertical="top"/>
    </xf>
    <xf numFmtId="165" fontId="10" fillId="14" borderId="9" xfId="0" applyNumberFormat="1" applyFont="1" applyFill="1" applyBorder="1" applyAlignment="1">
      <alignment horizontal="left"/>
    </xf>
    <xf numFmtId="0" fontId="12" fillId="14" borderId="9" xfId="0" applyFont="1" applyFill="1" applyBorder="1" applyAlignment="1">
      <alignment horizontal="left" vertical="top"/>
    </xf>
    <xf numFmtId="0" fontId="10" fillId="14" borderId="9" xfId="0" applyFont="1" applyFill="1" applyBorder="1" applyAlignment="1">
      <alignment horizontal="left"/>
    </xf>
    <xf numFmtId="0" fontId="10" fillId="14" borderId="2" xfId="0" applyFont="1" applyFill="1" applyBorder="1" applyAlignment="1">
      <alignment horizontal="center"/>
    </xf>
    <xf numFmtId="0" fontId="12" fillId="33" borderId="9" xfId="0" applyFont="1" applyFill="1" applyBorder="1" applyAlignment="1">
      <alignment horizontal="left"/>
    </xf>
    <xf numFmtId="0" fontId="26" fillId="33" borderId="9" xfId="0" applyFont="1" applyFill="1" applyBorder="1" applyAlignment="1">
      <alignment horizontal="left"/>
    </xf>
    <xf numFmtId="0" fontId="10" fillId="10" borderId="1" xfId="0" applyFont="1" applyFill="1" applyBorder="1"/>
    <xf numFmtId="0" fontId="10" fillId="10" borderId="9" xfId="0" applyFont="1" applyFill="1" applyBorder="1" applyAlignment="1">
      <alignment horizontal="left"/>
    </xf>
    <xf numFmtId="165" fontId="10" fillId="10" borderId="9" xfId="0" applyNumberFormat="1" applyFont="1" applyFill="1" applyBorder="1" applyAlignment="1">
      <alignment horizontal="left"/>
    </xf>
    <xf numFmtId="0" fontId="10" fillId="10" borderId="2" xfId="0" applyFont="1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10" fillId="34" borderId="1" xfId="0" applyFont="1" applyFill="1" applyBorder="1"/>
    <xf numFmtId="0" fontId="10" fillId="34" borderId="9" xfId="0" applyFont="1" applyFill="1" applyBorder="1" applyAlignment="1">
      <alignment horizontal="left"/>
    </xf>
    <xf numFmtId="165" fontId="10" fillId="34" borderId="9" xfId="0" applyNumberFormat="1" applyFont="1" applyFill="1" applyBorder="1" applyAlignment="1">
      <alignment horizontal="left"/>
    </xf>
    <xf numFmtId="0" fontId="26" fillId="34" borderId="9" xfId="0" applyFont="1" applyFill="1" applyBorder="1" applyAlignment="1">
      <alignment horizontal="left"/>
    </xf>
    <xf numFmtId="0" fontId="10" fillId="34" borderId="2" xfId="0" applyFont="1" applyFill="1" applyBorder="1" applyAlignment="1">
      <alignment horizontal="center"/>
    </xf>
    <xf numFmtId="0" fontId="10" fillId="12" borderId="1" xfId="0" applyFont="1" applyFill="1" applyBorder="1"/>
    <xf numFmtId="0" fontId="10" fillId="12" borderId="9" xfId="0" applyFont="1" applyFill="1" applyBorder="1" applyAlignment="1">
      <alignment horizontal="left" vertical="top"/>
    </xf>
    <xf numFmtId="165" fontId="10" fillId="12" borderId="9" xfId="0" applyNumberFormat="1" applyFont="1" applyFill="1" applyBorder="1" applyAlignment="1">
      <alignment horizontal="left"/>
    </xf>
    <xf numFmtId="0" fontId="10" fillId="12" borderId="9" xfId="0" applyFont="1" applyFill="1" applyBorder="1" applyAlignment="1">
      <alignment horizontal="left"/>
    </xf>
    <xf numFmtId="0" fontId="10" fillId="12" borderId="2" xfId="0" applyFont="1" applyFill="1" applyBorder="1" applyAlignment="1">
      <alignment horizontal="center"/>
    </xf>
    <xf numFmtId="0" fontId="10" fillId="35" borderId="9" xfId="0" applyFont="1" applyFill="1" applyBorder="1" applyAlignment="1">
      <alignment horizontal="left"/>
    </xf>
    <xf numFmtId="0" fontId="10" fillId="35" borderId="1" xfId="0" applyFont="1" applyFill="1" applyBorder="1"/>
    <xf numFmtId="0" fontId="0" fillId="13" borderId="0" xfId="0" applyFill="1"/>
    <xf numFmtId="0" fontId="10" fillId="35" borderId="2" xfId="0" applyFont="1" applyFill="1" applyBorder="1" applyAlignment="1">
      <alignment horizontal="center"/>
    </xf>
    <xf numFmtId="0" fontId="10" fillId="36" borderId="1" xfId="0" applyFont="1" applyFill="1" applyBorder="1"/>
    <xf numFmtId="0" fontId="10" fillId="36" borderId="9" xfId="0" applyFont="1" applyFill="1" applyBorder="1" applyAlignment="1">
      <alignment horizontal="left"/>
    </xf>
    <xf numFmtId="165" fontId="10" fillId="36" borderId="9" xfId="0" applyNumberFormat="1" applyFont="1" applyFill="1" applyBorder="1" applyAlignment="1">
      <alignment horizontal="left"/>
    </xf>
    <xf numFmtId="0" fontId="10" fillId="36" borderId="2" xfId="0" applyFont="1" applyFill="1" applyBorder="1" applyAlignment="1">
      <alignment horizontal="center"/>
    </xf>
    <xf numFmtId="0" fontId="10" fillId="13" borderId="6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5" fontId="10" fillId="13" borderId="6" xfId="0" applyNumberFormat="1" applyFont="1" applyFill="1" applyBorder="1" applyAlignment="1">
      <alignment horizontal="left"/>
    </xf>
    <xf numFmtId="165" fontId="10" fillId="13" borderId="2" xfId="0" applyNumberFormat="1" applyFont="1" applyFill="1" applyBorder="1" applyAlignment="1">
      <alignment horizontal="left"/>
    </xf>
    <xf numFmtId="0" fontId="0" fillId="37" borderId="18" xfId="0" applyFill="1" applyBorder="1" applyAlignment="1">
      <alignment horizontal="center" vertical="center"/>
    </xf>
    <xf numFmtId="0" fontId="0" fillId="37" borderId="17" xfId="0" applyFill="1" applyBorder="1" applyAlignment="1">
      <alignment horizontal="center" vertical="center"/>
    </xf>
    <xf numFmtId="0" fontId="10" fillId="38" borderId="1" xfId="0" applyFont="1" applyFill="1" applyBorder="1"/>
    <xf numFmtId="0" fontId="10" fillId="38" borderId="9" xfId="0" applyFont="1" applyFill="1" applyBorder="1" applyAlignment="1">
      <alignment horizontal="left"/>
    </xf>
    <xf numFmtId="165" fontId="10" fillId="38" borderId="9" xfId="0" applyNumberFormat="1" applyFont="1" applyFill="1" applyBorder="1" applyAlignment="1">
      <alignment horizontal="left"/>
    </xf>
    <xf numFmtId="1" fontId="0" fillId="37" borderId="17" xfId="0" applyNumberFormat="1" applyFill="1" applyBorder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39" fillId="37" borderId="16" xfId="0" applyFont="1" applyFill="1" applyBorder="1" applyAlignment="1">
      <alignment horizontal="center" vertical="center"/>
    </xf>
    <xf numFmtId="0" fontId="10" fillId="38" borderId="2" xfId="0" applyFont="1" applyFill="1" applyBorder="1" applyAlignment="1">
      <alignment horizontal="center"/>
    </xf>
    <xf numFmtId="0" fontId="0" fillId="37" borderId="22" xfId="0" applyFill="1" applyBorder="1" applyAlignment="1">
      <alignment horizontal="center" vertical="center"/>
    </xf>
    <xf numFmtId="0" fontId="0" fillId="37" borderId="24" xfId="0" applyFill="1" applyBorder="1" applyAlignment="1">
      <alignment horizontal="center" vertical="center"/>
    </xf>
    <xf numFmtId="1" fontId="0" fillId="37" borderId="15" xfId="0" applyNumberForma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51" fillId="12" borderId="1" xfId="0" applyFont="1" applyFill="1" applyBorder="1" applyAlignment="1">
      <alignment horizontal="center"/>
    </xf>
    <xf numFmtId="0" fontId="52" fillId="12" borderId="1" xfId="0" applyFont="1" applyFill="1" applyBorder="1"/>
    <xf numFmtId="0" fontId="52" fillId="12" borderId="1" xfId="0" applyFont="1" applyFill="1" applyBorder="1" applyAlignment="1">
      <alignment horizontal="right"/>
    </xf>
    <xf numFmtId="0" fontId="53" fillId="12" borderId="1" xfId="0" applyFont="1" applyFill="1" applyBorder="1"/>
    <xf numFmtId="0" fontId="51" fillId="13" borderId="1" xfId="0" applyFont="1" applyFill="1" applyBorder="1" applyAlignment="1">
      <alignment horizontal="center"/>
    </xf>
    <xf numFmtId="0" fontId="52" fillId="13" borderId="1" xfId="0" applyFont="1" applyFill="1" applyBorder="1"/>
    <xf numFmtId="0" fontId="52" fillId="13" borderId="1" xfId="0" applyFont="1" applyFill="1" applyBorder="1" applyAlignment="1">
      <alignment horizontal="right"/>
    </xf>
    <xf numFmtId="0" fontId="51" fillId="14" borderId="1" xfId="0" applyFont="1" applyFill="1" applyBorder="1" applyAlignment="1">
      <alignment horizontal="center"/>
    </xf>
    <xf numFmtId="0" fontId="52" fillId="14" borderId="1" xfId="0" applyFont="1" applyFill="1" applyBorder="1"/>
    <xf numFmtId="0" fontId="52" fillId="14" borderId="1" xfId="0" applyFont="1" applyFill="1" applyBorder="1" applyAlignment="1">
      <alignment horizontal="right"/>
    </xf>
    <xf numFmtId="0" fontId="55" fillId="14" borderId="1" xfId="0" applyFont="1" applyFill="1" applyBorder="1"/>
    <xf numFmtId="3" fontId="52" fillId="14" borderId="1" xfId="0" applyNumberFormat="1" applyFont="1" applyFill="1" applyBorder="1" applyAlignment="1">
      <alignment horizontal="right"/>
    </xf>
    <xf numFmtId="0" fontId="51" fillId="10" borderId="1" xfId="0" applyFont="1" applyFill="1" applyBorder="1" applyAlignment="1">
      <alignment horizontal="center"/>
    </xf>
    <xf numFmtId="0" fontId="52" fillId="10" borderId="1" xfId="0" applyFont="1" applyFill="1" applyBorder="1"/>
    <xf numFmtId="0" fontId="52" fillId="10" borderId="1" xfId="0" applyFont="1" applyFill="1" applyBorder="1" applyAlignment="1">
      <alignment horizontal="right"/>
    </xf>
    <xf numFmtId="0" fontId="51" fillId="10" borderId="1" xfId="0" applyFont="1" applyFill="1" applyBorder="1" applyAlignment="1">
      <alignment horizontal="center" vertical="center"/>
    </xf>
    <xf numFmtId="0" fontId="53" fillId="10" borderId="1" xfId="0" applyFont="1" applyFill="1" applyBorder="1"/>
    <xf numFmtId="0" fontId="51" fillId="22" borderId="1" xfId="0" applyFont="1" applyFill="1" applyBorder="1" applyAlignment="1">
      <alignment horizontal="left"/>
    </xf>
    <xf numFmtId="0" fontId="51" fillId="12" borderId="1" xfId="0" applyFont="1" applyFill="1" applyBorder="1" applyAlignment="1">
      <alignment horizontal="left"/>
    </xf>
    <xf numFmtId="164" fontId="51" fillId="12" borderId="1" xfId="0" applyNumberFormat="1" applyFont="1" applyFill="1" applyBorder="1" applyAlignment="1">
      <alignment horizontal="center"/>
    </xf>
    <xf numFmtId="165" fontId="51" fillId="12" borderId="1" xfId="0" applyNumberFormat="1" applyFont="1" applyFill="1" applyBorder="1" applyAlignment="1">
      <alignment horizontal="center"/>
    </xf>
    <xf numFmtId="0" fontId="56" fillId="12" borderId="1" xfId="0" applyFont="1" applyFill="1" applyBorder="1" applyAlignment="1">
      <alignment horizontal="center"/>
    </xf>
    <xf numFmtId="0" fontId="51" fillId="13" borderId="1" xfId="0" applyFont="1" applyFill="1" applyBorder="1" applyAlignment="1">
      <alignment horizontal="left"/>
    </xf>
    <xf numFmtId="165" fontId="51" fillId="13" borderId="1" xfId="0" applyNumberFormat="1" applyFont="1" applyFill="1" applyBorder="1" applyAlignment="1">
      <alignment horizontal="center"/>
    </xf>
    <xf numFmtId="0" fontId="58" fillId="13" borderId="1" xfId="0" applyFont="1" applyFill="1" applyBorder="1" applyAlignment="1">
      <alignment horizontal="center"/>
    </xf>
    <xf numFmtId="0" fontId="51" fillId="14" borderId="1" xfId="0" applyFont="1" applyFill="1" applyBorder="1" applyAlignment="1">
      <alignment horizontal="left"/>
    </xf>
    <xf numFmtId="165" fontId="51" fillId="14" borderId="1" xfId="0" applyNumberFormat="1" applyFont="1" applyFill="1" applyBorder="1" applyAlignment="1">
      <alignment horizontal="center"/>
    </xf>
    <xf numFmtId="0" fontId="56" fillId="14" borderId="1" xfId="0" applyFont="1" applyFill="1" applyBorder="1" applyAlignment="1">
      <alignment horizontal="center"/>
    </xf>
    <xf numFmtId="0" fontId="51" fillId="10" borderId="1" xfId="0" applyFont="1" applyFill="1" applyBorder="1" applyAlignment="1">
      <alignment horizontal="left"/>
    </xf>
    <xf numFmtId="165" fontId="51" fillId="10" borderId="1" xfId="0" applyNumberFormat="1" applyFont="1" applyFill="1" applyBorder="1" applyAlignment="1">
      <alignment horizontal="center"/>
    </xf>
    <xf numFmtId="0" fontId="56" fillId="10" borderId="1" xfId="0" applyFont="1" applyFill="1" applyBorder="1" applyAlignment="1">
      <alignment horizontal="center"/>
    </xf>
    <xf numFmtId="164" fontId="51" fillId="10" borderId="1" xfId="0" applyNumberFormat="1" applyFont="1" applyFill="1" applyBorder="1" applyAlignment="1">
      <alignment horizontal="center"/>
    </xf>
    <xf numFmtId="0" fontId="4" fillId="12" borderId="30" xfId="0" applyFont="1" applyFill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/>
    </xf>
    <xf numFmtId="0" fontId="4" fillId="14" borderId="3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center" vertical="center"/>
    </xf>
    <xf numFmtId="0" fontId="59" fillId="10" borderId="17" xfId="0" applyFont="1" applyFill="1" applyBorder="1" applyAlignment="1">
      <alignment horizontal="center" vertical="center"/>
    </xf>
    <xf numFmtId="0" fontId="4" fillId="10" borderId="26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59" fillId="10" borderId="1" xfId="0" applyFont="1" applyFill="1" applyBorder="1" applyAlignment="1">
      <alignment horizontal="left" vertical="center"/>
    </xf>
    <xf numFmtId="0" fontId="39" fillId="10" borderId="18" xfId="0" applyFont="1" applyFill="1" applyBorder="1" applyAlignment="1">
      <alignment horizontal="center" vertical="center"/>
    </xf>
    <xf numFmtId="0" fontId="39" fillId="12" borderId="18" xfId="0" applyFont="1" applyFill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50" fillId="31" borderId="17" xfId="0" applyFont="1" applyFill="1" applyBorder="1" applyAlignment="1">
      <alignment horizontal="center" vertical="center"/>
    </xf>
    <xf numFmtId="0" fontId="50" fillId="31" borderId="19" xfId="0" applyFont="1" applyFill="1" applyBorder="1" applyAlignment="1">
      <alignment horizontal="center" vertical="center"/>
    </xf>
    <xf numFmtId="0" fontId="4" fillId="14" borderId="26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4" fontId="4" fillId="13" borderId="17" xfId="0" applyNumberFormat="1" applyFont="1" applyFill="1" applyBorder="1" applyAlignment="1">
      <alignment horizontal="center" vertical="center"/>
    </xf>
    <xf numFmtId="1" fontId="4" fillId="13" borderId="17" xfId="0" applyNumberFormat="1" applyFont="1" applyFill="1" applyBorder="1" applyAlignment="1">
      <alignment horizontal="center" vertical="center"/>
    </xf>
    <xf numFmtId="0" fontId="4" fillId="13" borderId="26" xfId="0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center" vertical="center"/>
    </xf>
    <xf numFmtId="0" fontId="4" fillId="13" borderId="19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4" fontId="4" fillId="14" borderId="17" xfId="0" applyNumberFormat="1" applyFont="1" applyFill="1" applyBorder="1" applyAlignment="1">
      <alignment horizontal="center" vertical="center"/>
    </xf>
    <xf numFmtId="1" fontId="4" fillId="14" borderId="17" xfId="0" applyNumberFormat="1" applyFont="1" applyFill="1" applyBorder="1" applyAlignment="1">
      <alignment horizontal="center" vertical="center"/>
    </xf>
    <xf numFmtId="0" fontId="4" fillId="14" borderId="19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9" fillId="31" borderId="30" xfId="0" applyFont="1" applyFill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0" fontId="38" fillId="39" borderId="17" xfId="0" applyFont="1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38" fillId="12" borderId="17" xfId="0" applyFont="1" applyFill="1" applyBorder="1" applyAlignment="1">
      <alignment horizontal="center" vertical="center"/>
    </xf>
    <xf numFmtId="0" fontId="38" fillId="40" borderId="17" xfId="0" applyFont="1" applyFill="1" applyBorder="1" applyAlignment="1">
      <alignment horizontal="center" vertical="center"/>
    </xf>
    <xf numFmtId="0" fontId="0" fillId="40" borderId="17" xfId="0" applyFill="1" applyBorder="1" applyAlignment="1">
      <alignment horizontal="center" vertical="center"/>
    </xf>
    <xf numFmtId="0" fontId="38" fillId="32" borderId="17" xfId="0" applyFont="1" applyFill="1" applyBorder="1" applyAlignment="1">
      <alignment horizontal="center" vertical="center"/>
    </xf>
    <xf numFmtId="0" fontId="0" fillId="32" borderId="17" xfId="0" applyFill="1" applyBorder="1" applyAlignment="1">
      <alignment horizontal="center" vertical="center"/>
    </xf>
    <xf numFmtId="0" fontId="59" fillId="20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36" fillId="41" borderId="1" xfId="0" applyFont="1" applyFill="1" applyBorder="1" applyAlignment="1">
      <alignment horizontal="center" vertical="center"/>
    </xf>
    <xf numFmtId="0" fontId="59" fillId="24" borderId="1" xfId="0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39" fillId="13" borderId="0" xfId="0" applyFont="1" applyFill="1" applyAlignment="1">
      <alignment horizontal="center" vertical="center"/>
    </xf>
    <xf numFmtId="167" fontId="13" fillId="13" borderId="1" xfId="0" applyNumberFormat="1" applyFont="1" applyFill="1" applyBorder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14" fontId="36" fillId="12" borderId="1" xfId="0" applyNumberFormat="1" applyFont="1" applyFill="1" applyBorder="1" applyAlignment="1">
      <alignment horizontal="center" vertical="center"/>
    </xf>
    <xf numFmtId="14" fontId="36" fillId="10" borderId="1" xfId="0" applyNumberFormat="1" applyFont="1" applyFill="1" applyBorder="1" applyAlignment="1">
      <alignment horizontal="center" vertical="center"/>
    </xf>
    <xf numFmtId="165" fontId="36" fillId="10" borderId="1" xfId="0" applyNumberFormat="1" applyFont="1" applyFill="1" applyBorder="1" applyAlignment="1">
      <alignment horizontal="center" vertical="center"/>
    </xf>
    <xf numFmtId="165" fontId="36" fillId="12" borderId="1" xfId="0" applyNumberFormat="1" applyFont="1" applyFill="1" applyBorder="1" applyAlignment="1">
      <alignment horizontal="center" vertical="center"/>
    </xf>
    <xf numFmtId="0" fontId="39" fillId="5" borderId="20" xfId="0" applyFont="1" applyFill="1" applyBorder="1" applyAlignment="1">
      <alignment horizontal="center" vertical="center"/>
    </xf>
    <xf numFmtId="0" fontId="39" fillId="5" borderId="18" xfId="0" applyFont="1" applyFill="1" applyBorder="1" applyAlignment="1">
      <alignment horizontal="center" vertical="center"/>
    </xf>
    <xf numFmtId="0" fontId="39" fillId="5" borderId="16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/>
    </xf>
    <xf numFmtId="164" fontId="39" fillId="5" borderId="1" xfId="0" applyNumberFormat="1" applyFont="1" applyFill="1" applyBorder="1" applyAlignment="1">
      <alignment horizontal="center"/>
    </xf>
    <xf numFmtId="1" fontId="39" fillId="5" borderId="17" xfId="0" applyNumberFormat="1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center" vertical="center"/>
    </xf>
    <xf numFmtId="165" fontId="39" fillId="5" borderId="1" xfId="0" applyNumberFormat="1" applyFont="1" applyFill="1" applyBorder="1" applyAlignment="1">
      <alignment horizontal="center"/>
    </xf>
    <xf numFmtId="0" fontId="39" fillId="5" borderId="19" xfId="0" applyFont="1" applyFill="1" applyBorder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/>
    </xf>
    <xf numFmtId="14" fontId="39" fillId="5" borderId="17" xfId="0" applyNumberFormat="1" applyFont="1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39" fillId="42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14" fontId="36" fillId="5" borderId="1" xfId="0" applyNumberFormat="1" applyFont="1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65" fontId="36" fillId="5" borderId="1" xfId="0" applyNumberFormat="1" applyFon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10" fillId="5" borderId="9" xfId="0" applyFont="1" applyFill="1" applyBorder="1" applyAlignment="1">
      <alignment horizontal="left"/>
    </xf>
    <xf numFmtId="165" fontId="10" fillId="5" borderId="9" xfId="0" applyNumberFormat="1" applyFont="1" applyFill="1" applyBorder="1" applyAlignment="1">
      <alignment horizontal="left"/>
    </xf>
    <xf numFmtId="0" fontId="0" fillId="5" borderId="0" xfId="0" applyFill="1" applyAlignment="1">
      <alignment horizontal="center" vertical="center"/>
    </xf>
    <xf numFmtId="0" fontId="10" fillId="5" borderId="9" xfId="0" applyFont="1" applyFill="1" applyBorder="1" applyAlignment="1">
      <alignment horizontal="left" vertical="top"/>
    </xf>
    <xf numFmtId="0" fontId="17" fillId="5" borderId="9" xfId="0" applyFont="1" applyFill="1" applyBorder="1" applyAlignment="1">
      <alignment horizontal="left"/>
    </xf>
    <xf numFmtId="0" fontId="26" fillId="5" borderId="9" xfId="0" applyFont="1" applyFill="1" applyBorder="1" applyAlignment="1">
      <alignment horizontal="left"/>
    </xf>
    <xf numFmtId="0" fontId="0" fillId="5" borderId="24" xfId="0" applyFill="1" applyBorder="1" applyAlignment="1">
      <alignment horizontal="center" vertical="center"/>
    </xf>
    <xf numFmtId="0" fontId="10" fillId="8" borderId="9" xfId="0" applyFont="1" applyFill="1" applyBorder="1" applyAlignment="1">
      <alignment horizontal="left"/>
    </xf>
    <xf numFmtId="165" fontId="10" fillId="8" borderId="9" xfId="0" applyNumberFormat="1" applyFont="1" applyFill="1" applyBorder="1" applyAlignment="1">
      <alignment horizontal="left"/>
    </xf>
    <xf numFmtId="0" fontId="39" fillId="42" borderId="18" xfId="0" applyFont="1" applyFill="1" applyBorder="1" applyAlignment="1">
      <alignment horizontal="center" vertical="center"/>
    </xf>
    <xf numFmtId="0" fontId="0" fillId="42" borderId="17" xfId="0" applyFill="1" applyBorder="1" applyAlignment="1">
      <alignment horizontal="center" vertical="center"/>
    </xf>
    <xf numFmtId="0" fontId="10" fillId="43" borderId="1" xfId="0" applyFont="1" applyFill="1" applyBorder="1"/>
    <xf numFmtId="0" fontId="10" fillId="43" borderId="9" xfId="0" applyFont="1" applyFill="1" applyBorder="1" applyAlignment="1">
      <alignment horizontal="left"/>
    </xf>
    <xf numFmtId="165" fontId="10" fillId="43" borderId="9" xfId="0" applyNumberFormat="1" applyFont="1" applyFill="1" applyBorder="1" applyAlignment="1">
      <alignment horizontal="left"/>
    </xf>
    <xf numFmtId="0" fontId="39" fillId="42" borderId="16" xfId="0" applyFont="1" applyFill="1" applyBorder="1" applyAlignment="1">
      <alignment horizontal="center" vertical="center"/>
    </xf>
    <xf numFmtId="0" fontId="10" fillId="43" borderId="2" xfId="0" applyFont="1" applyFill="1" applyBorder="1" applyAlignment="1">
      <alignment horizontal="center"/>
    </xf>
    <xf numFmtId="0" fontId="0" fillId="42" borderId="22" xfId="0" applyFill="1" applyBorder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17" fillId="8" borderId="9" xfId="0" applyFont="1" applyFill="1" applyBorder="1" applyAlignment="1">
      <alignment horizontal="left"/>
    </xf>
    <xf numFmtId="0" fontId="10" fillId="7" borderId="9" xfId="0" applyFont="1" applyFill="1" applyBorder="1" applyAlignment="1">
      <alignment horizontal="left"/>
    </xf>
    <xf numFmtId="165" fontId="10" fillId="7" borderId="9" xfId="0" applyNumberFormat="1" applyFont="1" applyFill="1" applyBorder="1" applyAlignment="1">
      <alignment horizontal="left"/>
    </xf>
    <xf numFmtId="0" fontId="0" fillId="42" borderId="24" xfId="0" applyFill="1" applyBorder="1" applyAlignment="1">
      <alignment horizontal="center" vertical="center"/>
    </xf>
    <xf numFmtId="0" fontId="0" fillId="42" borderId="15" xfId="0" applyFill="1" applyBorder="1" applyAlignment="1">
      <alignment horizontal="center" vertical="center"/>
    </xf>
    <xf numFmtId="1" fontId="0" fillId="42" borderId="15" xfId="0" applyNumberFormat="1" applyFill="1" applyBorder="1" applyAlignment="1">
      <alignment horizontal="center" vertical="center"/>
    </xf>
    <xf numFmtId="0" fontId="10" fillId="44" borderId="1" xfId="0" applyFont="1" applyFill="1" applyBorder="1"/>
    <xf numFmtId="0" fontId="10" fillId="44" borderId="9" xfId="0" applyFont="1" applyFill="1" applyBorder="1" applyAlignment="1">
      <alignment horizontal="left"/>
    </xf>
    <xf numFmtId="165" fontId="10" fillId="44" borderId="9" xfId="0" applyNumberFormat="1" applyFont="1" applyFill="1" applyBorder="1" applyAlignment="1">
      <alignment horizontal="left"/>
    </xf>
    <xf numFmtId="0" fontId="10" fillId="44" borderId="2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7" fillId="5" borderId="17" xfId="0" applyNumberFormat="1" applyFont="1" applyFill="1" applyBorder="1" applyAlignment="1">
      <alignment horizontal="center" vertical="center"/>
    </xf>
    <xf numFmtId="14" fontId="39" fillId="5" borderId="16" xfId="0" applyNumberFormat="1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9" fillId="45" borderId="1" xfId="0" applyFont="1" applyFill="1" applyBorder="1" applyAlignment="1">
      <alignment horizontal="center" vertical="center"/>
    </xf>
    <xf numFmtId="0" fontId="39" fillId="5" borderId="24" xfId="0" applyFont="1" applyFill="1" applyBorder="1" applyAlignment="1">
      <alignment horizontal="center" vertical="center"/>
    </xf>
    <xf numFmtId="0" fontId="38" fillId="46" borderId="17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39" fillId="5" borderId="17" xfId="0" quotePrefix="1" applyFont="1" applyFill="1" applyBorder="1" applyAlignment="1">
      <alignment horizontal="center" vertical="center"/>
    </xf>
    <xf numFmtId="0" fontId="39" fillId="5" borderId="25" xfId="0" applyFont="1" applyFill="1" applyBorder="1" applyAlignment="1">
      <alignment horizontal="center" vertical="center"/>
    </xf>
    <xf numFmtId="0" fontId="39" fillId="47" borderId="1" xfId="0" applyFont="1" applyFill="1" applyBorder="1" applyAlignment="1">
      <alignment horizontal="left" vertical="top"/>
    </xf>
    <xf numFmtId="0" fontId="39" fillId="47" borderId="1" xfId="0" applyFont="1" applyFill="1" applyBorder="1"/>
    <xf numFmtId="0" fontId="39" fillId="47" borderId="1" xfId="0" applyFont="1" applyFill="1" applyBorder="1" applyAlignment="1">
      <alignment horizontal="left"/>
    </xf>
    <xf numFmtId="0" fontId="44" fillId="47" borderId="1" xfId="0" applyFont="1" applyFill="1" applyBorder="1" applyAlignment="1">
      <alignment horizontal="left" vertical="top"/>
    </xf>
    <xf numFmtId="0" fontId="7" fillId="47" borderId="1" xfId="0" applyFont="1" applyFill="1" applyBorder="1" applyAlignment="1">
      <alignment horizontal="left" vertical="top"/>
    </xf>
    <xf numFmtId="0" fontId="44" fillId="47" borderId="1" xfId="0" applyFont="1" applyFill="1" applyBorder="1"/>
    <xf numFmtId="0" fontId="39" fillId="5" borderId="1" xfId="0" applyFont="1" applyFill="1" applyBorder="1"/>
    <xf numFmtId="0" fontId="39" fillId="5" borderId="1" xfId="0" applyFont="1" applyFill="1" applyBorder="1" applyAlignment="1">
      <alignment horizontal="left"/>
    </xf>
    <xf numFmtId="0" fontId="39" fillId="47" borderId="1" xfId="0" applyFont="1" applyFill="1" applyBorder="1" applyAlignment="1">
      <alignment vertical="top"/>
    </xf>
    <xf numFmtId="0" fontId="39" fillId="6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2" fillId="10" borderId="26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45" fillId="5" borderId="25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6" borderId="17" xfId="0" applyFont="1" applyFill="1" applyBorder="1" applyAlignment="1">
      <alignment horizontal="center" vertical="center"/>
    </xf>
    <xf numFmtId="0" fontId="52" fillId="5" borderId="1" xfId="0" applyFont="1" applyFill="1" applyBorder="1"/>
    <xf numFmtId="0" fontId="52" fillId="5" borderId="1" xfId="0" applyFont="1" applyFill="1" applyBorder="1" applyAlignment="1">
      <alignment horizontal="right"/>
    </xf>
    <xf numFmtId="0" fontId="53" fillId="5" borderId="1" xfId="0" applyFont="1" applyFill="1" applyBorder="1"/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55" fillId="5" borderId="1" xfId="0" applyFont="1" applyFill="1" applyBorder="1"/>
    <xf numFmtId="0" fontId="51" fillId="5" borderId="1" xfId="0" applyFont="1" applyFill="1" applyBorder="1" applyAlignment="1">
      <alignment horizontal="left"/>
    </xf>
    <xf numFmtId="164" fontId="51" fillId="5" borderId="1" xfId="0" applyNumberFormat="1" applyFont="1" applyFill="1" applyBorder="1" applyAlignment="1">
      <alignment horizontal="center"/>
    </xf>
    <xf numFmtId="0" fontId="51" fillId="5" borderId="1" xfId="0" applyFont="1" applyFill="1" applyBorder="1"/>
    <xf numFmtId="0" fontId="51" fillId="5" borderId="1" xfId="0" applyFont="1" applyFill="1" applyBorder="1" applyAlignment="1">
      <alignment horizontal="center"/>
    </xf>
    <xf numFmtId="165" fontId="51" fillId="5" borderId="1" xfId="0" applyNumberFormat="1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165" fontId="35" fillId="5" borderId="11" xfId="0" applyNumberFormat="1" applyFont="1" applyFill="1" applyBorder="1" applyAlignment="1">
      <alignment horizontal="center" vertical="center"/>
    </xf>
    <xf numFmtId="1" fontId="35" fillId="5" borderId="17" xfId="0" applyNumberFormat="1" applyFont="1" applyFill="1" applyBorder="1" applyAlignment="1">
      <alignment horizontal="center" vertical="center"/>
    </xf>
    <xf numFmtId="0" fontId="35" fillId="48" borderId="1" xfId="0" applyFont="1" applyFill="1" applyBorder="1" applyAlignment="1">
      <alignment horizontal="center" vertical="center"/>
    </xf>
    <xf numFmtId="0" fontId="35" fillId="5" borderId="26" xfId="0" applyFont="1" applyFill="1" applyBorder="1" applyAlignment="1">
      <alignment horizontal="center" vertical="center"/>
    </xf>
    <xf numFmtId="0" fontId="35" fillId="5" borderId="23" xfId="0" applyFont="1" applyFill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5" borderId="18" xfId="0" applyFont="1" applyFill="1" applyBorder="1" applyAlignment="1">
      <alignment horizontal="center" vertical="center"/>
    </xf>
    <xf numFmtId="14" fontId="35" fillId="5" borderId="17" xfId="0" applyNumberFormat="1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 wrapText="1"/>
    </xf>
    <xf numFmtId="0" fontId="35" fillId="5" borderId="0" xfId="0" applyFont="1" applyFill="1" applyAlignment="1">
      <alignment horizontal="center" vertical="center"/>
    </xf>
    <xf numFmtId="0" fontId="0" fillId="42" borderId="20" xfId="0" applyFill="1" applyBorder="1" applyAlignment="1">
      <alignment horizontal="center" vertical="center"/>
    </xf>
    <xf numFmtId="0" fontId="0" fillId="42" borderId="18" xfId="0" applyFill="1" applyBorder="1" applyAlignment="1">
      <alignment horizontal="center" vertical="center"/>
    </xf>
    <xf numFmtId="0" fontId="5" fillId="42" borderId="17" xfId="0" applyFont="1" applyFill="1" applyBorder="1" applyAlignment="1">
      <alignment horizontal="center" vertical="center"/>
    </xf>
    <xf numFmtId="14" fontId="5" fillId="42" borderId="17" xfId="0" applyNumberFormat="1" applyFont="1" applyFill="1" applyBorder="1" applyAlignment="1">
      <alignment horizontal="center" vertical="center"/>
    </xf>
    <xf numFmtId="1" fontId="0" fillId="42" borderId="17" xfId="0" applyNumberFormat="1" applyFill="1" applyBorder="1" applyAlignment="1">
      <alignment horizontal="center" vertical="center"/>
    </xf>
    <xf numFmtId="0" fontId="5" fillId="42" borderId="17" xfId="0" quotePrefix="1" applyFont="1" applyFill="1" applyBorder="1" applyAlignment="1">
      <alignment horizontal="center" vertical="center"/>
    </xf>
    <xf numFmtId="0" fontId="7" fillId="42" borderId="26" xfId="0" applyFont="1" applyFill="1" applyBorder="1" applyAlignment="1">
      <alignment horizontal="center" vertical="center"/>
    </xf>
    <xf numFmtId="0" fontId="7" fillId="42" borderId="23" xfId="0" applyFont="1" applyFill="1" applyBorder="1" applyAlignment="1">
      <alignment horizontal="center" vertical="center"/>
    </xf>
    <xf numFmtId="0" fontId="0" fillId="42" borderId="19" xfId="0" applyFill="1" applyBorder="1" applyAlignment="1">
      <alignment horizontal="center" vertical="center"/>
    </xf>
    <xf numFmtId="0" fontId="5" fillId="42" borderId="15" xfId="0" applyFont="1" applyFill="1" applyBorder="1" applyAlignment="1">
      <alignment horizontal="center" vertical="center"/>
    </xf>
    <xf numFmtId="14" fontId="5" fillId="42" borderId="15" xfId="0" applyNumberFormat="1" applyFont="1" applyFill="1" applyBorder="1" applyAlignment="1">
      <alignment horizontal="center" vertical="center"/>
    </xf>
    <xf numFmtId="0" fontId="5" fillId="42" borderId="15" xfId="0" quotePrefix="1" applyFont="1" applyFill="1" applyBorder="1" applyAlignment="1">
      <alignment horizontal="center" vertical="center"/>
    </xf>
    <xf numFmtId="0" fontId="7" fillId="42" borderId="27" xfId="0" applyFont="1" applyFill="1" applyBorder="1" applyAlignment="1">
      <alignment horizontal="center" vertical="center"/>
    </xf>
    <xf numFmtId="0" fontId="7" fillId="42" borderId="2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39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4" fontId="4" fillId="5" borderId="17" xfId="0" applyNumberFormat="1" applyFont="1" applyFill="1" applyBorder="1" applyAlignment="1">
      <alignment horizontal="center" vertical="center"/>
    </xf>
    <xf numFmtId="1" fontId="4" fillId="5" borderId="17" xfId="0" applyNumberFormat="1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/>
    </xf>
    <xf numFmtId="0" fontId="39" fillId="5" borderId="17" xfId="0" applyFont="1" applyFill="1" applyBorder="1" applyAlignment="1">
      <alignment horizontal="center" vertical="top"/>
    </xf>
    <xf numFmtId="0" fontId="39" fillId="5" borderId="17" xfId="0" applyFont="1" applyFill="1" applyBorder="1" applyAlignment="1">
      <alignment horizontal="center" vertical="top" wrapText="1"/>
    </xf>
    <xf numFmtId="0" fontId="5" fillId="5" borderId="17" xfId="0" applyFont="1" applyFill="1" applyBorder="1" applyAlignment="1">
      <alignment horizontal="center" vertical="center"/>
    </xf>
    <xf numFmtId="0" fontId="47" fillId="42" borderId="1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9" fillId="0" borderId="17" xfId="0" applyFont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39" fillId="5" borderId="12" xfId="0" applyFont="1" applyFill="1" applyBorder="1" applyAlignment="1">
      <alignment horizontal="center" vertical="top"/>
    </xf>
    <xf numFmtId="0" fontId="39" fillId="5" borderId="1" xfId="0" applyFont="1" applyFill="1" applyBorder="1" applyAlignment="1">
      <alignment horizontal="center" vertical="top"/>
    </xf>
    <xf numFmtId="0" fontId="5" fillId="5" borderId="17" xfId="0" applyFont="1" applyFill="1" applyBorder="1"/>
    <xf numFmtId="0" fontId="39" fillId="5" borderId="17" xfId="0" applyFont="1" applyFill="1" applyBorder="1" applyAlignment="1">
      <alignment horizontal="left" vertical="top"/>
    </xf>
    <xf numFmtId="0" fontId="39" fillId="5" borderId="17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/>
    </xf>
    <xf numFmtId="0" fontId="39" fillId="5" borderId="17" xfId="0" applyFont="1" applyFill="1" applyBorder="1" applyAlignment="1">
      <alignment horizontal="left" vertical="center"/>
    </xf>
    <xf numFmtId="0" fontId="39" fillId="47" borderId="17" xfId="0" applyFont="1" applyFill="1" applyBorder="1" applyAlignment="1">
      <alignment horizontal="left" vertical="center"/>
    </xf>
    <xf numFmtId="0" fontId="39" fillId="47" borderId="17" xfId="0" applyFont="1" applyFill="1" applyBorder="1" applyAlignment="1">
      <alignment horizontal="center" vertical="center"/>
    </xf>
    <xf numFmtId="0" fontId="38" fillId="42" borderId="17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 wrapText="1"/>
    </xf>
    <xf numFmtId="0" fontId="59" fillId="5" borderId="1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0" fontId="35" fillId="5" borderId="25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top"/>
    </xf>
    <xf numFmtId="0" fontId="42" fillId="5" borderId="3" xfId="0" applyFont="1" applyFill="1" applyBorder="1" applyAlignment="1">
      <alignment horizontal="left"/>
    </xf>
    <xf numFmtId="0" fontId="35" fillId="5" borderId="3" xfId="0" applyFont="1" applyFill="1" applyBorder="1" applyAlignment="1">
      <alignment horizontal="left"/>
    </xf>
    <xf numFmtId="0" fontId="35" fillId="5" borderId="3" xfId="0" applyFont="1" applyFill="1" applyBorder="1" applyAlignment="1">
      <alignment horizontal="left" vertical="top"/>
    </xf>
    <xf numFmtId="0" fontId="35" fillId="5" borderId="3" xfId="0" applyFont="1" applyFill="1" applyBorder="1" applyAlignment="1">
      <alignment horizontal="center"/>
    </xf>
    <xf numFmtId="0" fontId="42" fillId="5" borderId="3" xfId="0" applyFont="1" applyFill="1" applyBorder="1" applyAlignment="1">
      <alignment horizontal="left" vertical="top"/>
    </xf>
    <xf numFmtId="0" fontId="35" fillId="5" borderId="1" xfId="0" applyFont="1" applyFill="1" applyBorder="1" applyAlignment="1">
      <alignment horizontal="center" vertical="top"/>
    </xf>
    <xf numFmtId="0" fontId="42" fillId="5" borderId="1" xfId="0" applyFont="1" applyFill="1" applyBorder="1" applyAlignment="1">
      <alignment horizontal="left" vertical="top"/>
    </xf>
    <xf numFmtId="0" fontId="35" fillId="5" borderId="6" xfId="0" applyFont="1" applyFill="1" applyBorder="1" applyAlignment="1">
      <alignment horizontal="left"/>
    </xf>
    <xf numFmtId="0" fontId="31" fillId="6" borderId="1" xfId="0" applyFont="1" applyFill="1" applyBorder="1" applyAlignment="1">
      <alignment horizontal="left"/>
    </xf>
    <xf numFmtId="0" fontId="31" fillId="6" borderId="1" xfId="0" applyFont="1" applyFill="1" applyBorder="1" applyAlignment="1">
      <alignment horizontal="center"/>
    </xf>
    <xf numFmtId="0" fontId="31" fillId="6" borderId="2" xfId="0" applyFont="1" applyFill="1" applyBorder="1" applyAlignment="1">
      <alignment horizontal="center"/>
    </xf>
    <xf numFmtId="0" fontId="34" fillId="6" borderId="1" xfId="1" applyFill="1" applyBorder="1" applyAlignment="1">
      <alignment horizontal="left"/>
    </xf>
    <xf numFmtId="14" fontId="31" fillId="6" borderId="1" xfId="0" applyNumberFormat="1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 vertical="top"/>
    </xf>
    <xf numFmtId="0" fontId="31" fillId="6" borderId="3" xfId="0" applyFont="1" applyFill="1" applyBorder="1" applyAlignment="1">
      <alignment horizontal="center" vertical="top"/>
    </xf>
    <xf numFmtId="0" fontId="31" fillId="6" borderId="1" xfId="0" applyFont="1" applyFill="1" applyBorder="1" applyAlignment="1">
      <alignment horizontal="left" vertical="top"/>
    </xf>
    <xf numFmtId="0" fontId="31" fillId="6" borderId="3" xfId="0" applyFont="1" applyFill="1" applyBorder="1" applyAlignment="1">
      <alignment horizontal="center"/>
    </xf>
    <xf numFmtId="0" fontId="31" fillId="6" borderId="0" xfId="0" applyFont="1" applyFill="1" applyAlignment="1">
      <alignment horizontal="left"/>
    </xf>
    <xf numFmtId="0" fontId="39" fillId="42" borderId="1" xfId="0" applyFont="1" applyFill="1" applyBorder="1"/>
    <xf numFmtId="0" fontId="60" fillId="0" borderId="13" xfId="0" applyFont="1" applyBorder="1"/>
    <xf numFmtId="0" fontId="10" fillId="5" borderId="33" xfId="0" applyFont="1" applyFill="1" applyBorder="1" applyAlignment="1">
      <alignment wrapText="1"/>
    </xf>
    <xf numFmtId="0" fontId="39" fillId="5" borderId="34" xfId="0" applyFont="1" applyFill="1" applyBorder="1" applyAlignment="1">
      <alignment horizontal="center" vertical="center" wrapText="1"/>
    </xf>
    <xf numFmtId="0" fontId="39" fillId="5" borderId="35" xfId="0" applyFont="1" applyFill="1" applyBorder="1" applyAlignment="1">
      <alignment wrapText="1"/>
    </xf>
    <xf numFmtId="0" fontId="39" fillId="5" borderId="34" xfId="0" applyFont="1" applyFill="1" applyBorder="1" applyAlignment="1">
      <alignment wrapText="1"/>
    </xf>
    <xf numFmtId="0" fontId="10" fillId="5" borderId="34" xfId="0" applyFont="1" applyFill="1" applyBorder="1" applyAlignment="1">
      <alignment wrapText="1"/>
    </xf>
    <xf numFmtId="0" fontId="10" fillId="5" borderId="34" xfId="0" applyFont="1" applyFill="1" applyBorder="1" applyAlignment="1">
      <alignment horizontal="right" wrapText="1"/>
    </xf>
    <xf numFmtId="0" fontId="39" fillId="0" borderId="38" xfId="0" applyFont="1" applyBorder="1" applyAlignment="1">
      <alignment wrapText="1"/>
    </xf>
    <xf numFmtId="0" fontId="39" fillId="5" borderId="36" xfId="0" applyFont="1" applyFill="1" applyBorder="1" applyAlignment="1">
      <alignment vertical="center" wrapText="1"/>
    </xf>
    <xf numFmtId="0" fontId="39" fillId="5" borderId="37" xfId="0" applyFont="1" applyFill="1" applyBorder="1" applyAlignment="1">
      <alignment vertical="center" wrapText="1"/>
    </xf>
    <xf numFmtId="0" fontId="0" fillId="42" borderId="0" xfId="0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0" fillId="5" borderId="0" xfId="0" applyFill="1"/>
    <xf numFmtId="0" fontId="1" fillId="5" borderId="2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" fontId="1" fillId="5" borderId="17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61" fillId="5" borderId="18" xfId="0" applyFont="1" applyFill="1" applyBorder="1" applyAlignment="1">
      <alignment horizontal="center" vertical="center"/>
    </xf>
    <xf numFmtId="0" fontId="61" fillId="5" borderId="17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4" fontId="1" fillId="5" borderId="17" xfId="0" applyNumberFormat="1" applyFont="1" applyFill="1" applyBorder="1" applyAlignment="1">
      <alignment horizontal="center" vertical="center"/>
    </xf>
    <xf numFmtId="1" fontId="61" fillId="5" borderId="17" xfId="0" applyNumberFormat="1" applyFont="1" applyFill="1" applyBorder="1" applyAlignment="1">
      <alignment horizontal="center" vertical="center"/>
    </xf>
    <xf numFmtId="0" fontId="61" fillId="5" borderId="19" xfId="0" applyFont="1" applyFill="1" applyBorder="1" applyAlignment="1">
      <alignment horizontal="center" vertical="center"/>
    </xf>
    <xf numFmtId="0" fontId="61" fillId="5" borderId="15" xfId="0" applyFont="1" applyFill="1" applyBorder="1" applyAlignment="1">
      <alignment horizontal="center" vertical="center"/>
    </xf>
    <xf numFmtId="1" fontId="61" fillId="5" borderId="15" xfId="0" applyNumberFormat="1" applyFont="1" applyFill="1" applyBorder="1" applyAlignment="1">
      <alignment horizontal="center" vertical="center"/>
    </xf>
    <xf numFmtId="0" fontId="61" fillId="5" borderId="22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center" vertical="center"/>
    </xf>
    <xf numFmtId="0" fontId="13" fillId="5" borderId="40" xfId="0" applyFont="1" applyFill="1" applyBorder="1" applyAlignment="1">
      <alignment horizontal="center" vertical="center"/>
    </xf>
    <xf numFmtId="165" fontId="13" fillId="5" borderId="40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45" borderId="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61" fillId="5" borderId="42" xfId="0" applyFont="1" applyFill="1" applyBorder="1" applyAlignment="1">
      <alignment horizontal="center" vertical="center"/>
    </xf>
    <xf numFmtId="0" fontId="50" fillId="31" borderId="16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" fontId="1" fillId="5" borderId="15" xfId="0" applyNumberFormat="1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17" xfId="0" quotePrefix="1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/>
    </xf>
    <xf numFmtId="0" fontId="1" fillId="5" borderId="17" xfId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50" fillId="31" borderId="20" xfId="0" applyFont="1" applyFill="1" applyBorder="1" applyAlignment="1">
      <alignment horizontal="center" vertical="center" wrapText="1"/>
    </xf>
    <xf numFmtId="0" fontId="50" fillId="31" borderId="2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1" fontId="1" fillId="5" borderId="18" xfId="0" applyNumberFormat="1" applyFont="1" applyFill="1" applyBorder="1" applyAlignment="1">
      <alignment horizontal="center" vertical="center"/>
    </xf>
    <xf numFmtId="1" fontId="61" fillId="5" borderId="18" xfId="0" applyNumberFormat="1" applyFont="1" applyFill="1" applyBorder="1" applyAlignment="1">
      <alignment horizontal="center" vertical="center"/>
    </xf>
    <xf numFmtId="1" fontId="61" fillId="5" borderId="24" xfId="0" applyNumberFormat="1" applyFont="1" applyFill="1" applyBorder="1" applyAlignment="1">
      <alignment horizontal="center" vertical="center"/>
    </xf>
    <xf numFmtId="1" fontId="1" fillId="5" borderId="26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45" borderId="1" xfId="0" applyNumberFormat="1" applyFont="1" applyFill="1" applyBorder="1" applyAlignment="1">
      <alignment horizontal="center" vertical="center"/>
    </xf>
    <xf numFmtId="165" fontId="1" fillId="5" borderId="17" xfId="0" applyNumberFormat="1" applyFont="1" applyFill="1" applyBorder="1" applyAlignment="1">
      <alignment horizontal="center" vertical="center"/>
    </xf>
    <xf numFmtId="165" fontId="1" fillId="5" borderId="26" xfId="0" applyNumberFormat="1" applyFont="1" applyFill="1" applyBorder="1" applyAlignment="1">
      <alignment horizontal="center" vertical="center"/>
    </xf>
    <xf numFmtId="165" fontId="1" fillId="5" borderId="15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165" fontId="13" fillId="8" borderId="2" xfId="0" applyNumberFormat="1" applyFont="1" applyFill="1" applyBorder="1" applyAlignment="1">
      <alignment horizontal="center" vertical="center"/>
    </xf>
    <xf numFmtId="165" fontId="1" fillId="45" borderId="1" xfId="0" applyNumberFormat="1" applyFont="1" applyFill="1" applyBorder="1" applyAlignment="1">
      <alignment horizontal="center" vertical="center"/>
    </xf>
    <xf numFmtId="165" fontId="1" fillId="5" borderId="14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65" fontId="13" fillId="5" borderId="39" xfId="0" applyNumberFormat="1" applyFont="1" applyFill="1" applyBorder="1" applyAlignment="1">
      <alignment horizontal="center" vertical="center"/>
    </xf>
    <xf numFmtId="0" fontId="62" fillId="5" borderId="39" xfId="0" applyFont="1" applyFill="1" applyBorder="1" applyAlignment="1">
      <alignment horizontal="center" vertical="center"/>
    </xf>
    <xf numFmtId="0" fontId="26" fillId="5" borderId="39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39" xfId="0" applyFont="1" applyFill="1" applyBorder="1" applyAlignment="1">
      <alignment horizontal="center" vertical="center"/>
    </xf>
    <xf numFmtId="1" fontId="13" fillId="8" borderId="39" xfId="0" applyNumberFormat="1" applyFont="1" applyFill="1" applyBorder="1" applyAlignment="1">
      <alignment horizontal="center" vertical="center"/>
    </xf>
    <xf numFmtId="165" fontId="13" fillId="8" borderId="39" xfId="0" applyNumberFormat="1" applyFont="1" applyFill="1" applyBorder="1" applyAlignment="1">
      <alignment horizontal="center" vertical="center"/>
    </xf>
    <xf numFmtId="1" fontId="13" fillId="5" borderId="2" xfId="0" applyNumberFormat="1" applyFont="1" applyFill="1" applyBorder="1" applyAlignment="1">
      <alignment horizontal="center" vertical="center"/>
    </xf>
    <xf numFmtId="0" fontId="62" fillId="8" borderId="39" xfId="0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DFED8F12-BF89-46B0-B6FB-F24BE4D32C18}"/>
  </cellStyles>
  <dxfs count="503"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9" formatCode="d/mm/yyyy"/>
      <fill>
        <patternFill patternType="solid">
          <fgColor rgb="FFFFFFFF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scheme val="none"/>
      </font>
      <fill>
        <patternFill patternType="solid">
          <fgColor rgb="FFEA9999"/>
          <bgColor rgb="FFEA9999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scheme val="none"/>
      </font>
      <fill>
        <patternFill patternType="solid">
          <fgColor rgb="FFEA9999"/>
          <bgColor rgb="FFEA9999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name val="Arial"/>
        <scheme val="none"/>
      </font>
      <fill>
        <patternFill patternType="solid">
          <fgColor rgb="FFEA9999"/>
          <bgColor rgb="FFEA9999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65" formatCode="dd/mm/yyyy"/>
      <fill>
        <patternFill patternType="solid">
          <fgColor rgb="FFEA9999"/>
          <bgColor rgb="FFEA9999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scheme val="none"/>
      </font>
      <fill>
        <patternFill patternType="solid">
          <fgColor rgb="FFEA9999"/>
          <bgColor rgb="FFEA9999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EA9999"/>
          <bgColor rgb="FFEA9999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name val="Arial"/>
        <scheme val="none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ECFF"/>
      <color rgb="FFEA9999"/>
      <color rgb="FFFCB6F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2209FB8-5CD7-4869-A416-C674B11F2249}" name="Tabla22" displayName="Tabla22" ref="B2:S155" totalsRowShown="0" headerRowDxfId="1" dataDxfId="0" headerRowBorderDxfId="40" tableBorderDxfId="41">
  <autoFilter ref="B2:S155" xr:uid="{42209FB8-5CD7-4869-A416-C674B11F2249}"/>
  <tableColumns count="18">
    <tableColumn id="1" xr3:uid="{82A926BF-A131-483B-B9E3-9AC19506B7CD}" name="Comuna2" dataDxfId="19"/>
    <tableColumn id="2" xr3:uid="{DAAF45A3-EAE0-43AC-AFF5-DEF3F4049AEE}" name="Nombre Comuna" dataDxfId="18"/>
    <tableColumn id="3" xr3:uid="{104EB61E-C6F4-4B54-8634-DD395009139B}" name="Comisión / Comité" dataDxfId="17"/>
    <tableColumn id="4" xr3:uid="{F426344B-366E-4D66-A4F2-2F026593BD86}" name="Nombre CCGRD" dataDxfId="16"/>
    <tableColumn id="5" xr3:uid="{B3DDECB0-AFBE-4616-A385-872CFEB6739C}" name="Nombre y Apellidos" dataDxfId="15"/>
    <tableColumn id="6" xr3:uid="{A26B7E7A-262A-482F-B6AB-5A8E3F38F594}" name="Cédula" dataDxfId="14"/>
    <tableColumn id="7" xr3:uid="{599AB62E-A180-4716-B156-4120825C56FF}" name="Sexo" dataDxfId="13"/>
    <tableColumn id="8" xr3:uid="{798070AF-FD10-4490-AF3F-E2970567760D}" name="Fecha de Nacimiento" dataDxfId="12"/>
    <tableColumn id="9" xr3:uid="{1497BF23-10B2-4F05-8A05-076283A99854}" name="Edad" dataDxfId="11"/>
    <tableColumn id="10" xr3:uid="{D97C548E-4F42-4E7A-9FE2-FA0B221B09AF}" name="Tipo de Sangre" dataDxfId="10"/>
    <tableColumn id="11" xr3:uid="{CC970AAC-2FD3-44B0-BEBF-2260B0B27112}" name="Celular" dataDxfId="9"/>
    <tableColumn id="12" xr3:uid="{6B43A1CA-BA0C-4408-85A6-DF65733E152E}" name="Correo Electrónico" dataDxfId="8"/>
    <tableColumn id="13" xr3:uid="{510DE8F9-E440-451A-83C5-AB8D275ACD46}" name="Barrio" dataDxfId="7"/>
    <tableColumn id="14" xr3:uid="{042BBD02-12E4-44BD-A9F5-8B0B110B2EB2}" name="Ocupación" dataDxfId="6"/>
    <tableColumn id="15" xr3:uid="{1020132F-00B9-4F88-8C8D-9EBF63A1F27D}" name="EPS" dataDxfId="5"/>
    <tableColumn id="16" xr3:uid="{1E4D31A5-1B9B-4402-991F-87E12051AF9D}" name="Fecha de ingreso al CCGRD" dataDxfId="4"/>
    <tableColumn id="17" xr3:uid="{C2868E16-8EE2-4A83-AFF9-F7D004A5367E}" name="Rol en el Comité/Comisión" dataDxfId="3"/>
    <tableColumn id="18" xr3:uid="{24DACD4F-4009-4E76-B7D0-6551A9022D1C}" name="Estado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7F54F-4ADD-414A-9874-2D24C52D4872}" name="Tabla1" displayName="Tabla1" ref="D2:V28" totalsRowShown="0" headerRowDxfId="478" dataDxfId="476" headerRowBorderDxfId="477" tableBorderDxfId="475">
  <autoFilter ref="D2:V28" xr:uid="{C5F7F54F-4ADD-414A-9874-2D24C52D4872}"/>
  <tableColumns count="19">
    <tableColumn id="1" xr3:uid="{BD69C5A9-8C6E-4B92-B90F-090BA820EA69}" name="Comuna" dataDxfId="474"/>
    <tableColumn id="19" xr3:uid="{2272E4EE-EAAB-4BCF-97C5-1EE23E39DEA6}" name="Comuna2" dataDxfId="473"/>
    <tableColumn id="2" xr3:uid="{486E02EB-91F2-4088-9AFD-99BD9F7703B0}" name="Nombre Comuna" dataDxfId="472"/>
    <tableColumn id="3" xr3:uid="{4ADF2E75-0A6B-4898-BF12-FC061A2BEDAA}" name="Comisión / Comité" dataDxfId="471"/>
    <tableColumn id="4" xr3:uid="{BDBCCC53-3091-4755-B54C-5B4A613865ED}" name="Nombre CCGRD" dataDxfId="470"/>
    <tableColumn id="5" xr3:uid="{45CDDBC2-38B6-4CE9-8337-C772569AA808}" name="Nombre y Apellidos" dataDxfId="469"/>
    <tableColumn id="6" xr3:uid="{C3B41121-9770-4258-8F23-A1FF2C41CD2E}" name="Cédula" dataDxfId="468"/>
    <tableColumn id="7" xr3:uid="{B3A7CA10-5E57-4596-A27D-E76306E2FA0D}" name="Sexo" dataDxfId="467"/>
    <tableColumn id="8" xr3:uid="{11E3DE6F-C25A-4343-9A6A-98FE913D6788}" name="Fecha de Nacimiento" dataDxfId="466"/>
    <tableColumn id="9" xr3:uid="{4540635D-7BAA-4C85-9C13-960EDE863738}" name="Edad" dataDxfId="465">
      <calculatedColumnFormula>DATEDIF(L3,TODAY(),"Y")</calculatedColumnFormula>
    </tableColumn>
    <tableColumn id="10" xr3:uid="{BCDE8260-811F-400A-8D1C-A1BD79BC64FD}" name="Tipo de Sangre" dataDxfId="464"/>
    <tableColumn id="11" xr3:uid="{2105B649-D0C2-4C84-A7E8-735C08214448}" name="Celular" dataDxfId="463"/>
    <tableColumn id="12" xr3:uid="{B15A3A57-EB33-4FE2-842E-F334EB7C259E}" name="Correo Electrónico" dataDxfId="462"/>
    <tableColumn id="13" xr3:uid="{69F778BF-B9D1-44E3-B333-91468B8E3A52}" name="Barrio" dataDxfId="461"/>
    <tableColumn id="14" xr3:uid="{52A0D56E-6E66-4F05-A9C2-44B00FDA2A18}" name="Ocupación" dataDxfId="460"/>
    <tableColumn id="15" xr3:uid="{109A7049-B4BF-4F9B-97BE-710DB526C64D}" name="EPS" dataDxfId="459"/>
    <tableColumn id="16" xr3:uid="{6778B7CF-1E35-4F43-A494-EE6738619516}" name="Fecha de ingreso al CCGRD" dataDxfId="458"/>
    <tableColumn id="17" xr3:uid="{FCBC352A-1362-42E7-90AC-A899EE654227}" name="Rol en el Comité/Comisión" dataDxfId="457"/>
    <tableColumn id="18" xr3:uid="{402F51CF-ED90-4AB8-A1CF-1484FEA401B7}" name="Estado" dataDxfId="45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799E9B-ECF3-4DEA-8289-D0C66471D014}" name="Tabla2" displayName="Tabla2" ref="D2:V98" totalsRowShown="0" headerRowDxfId="65" dataDxfId="64" headerRowBorderDxfId="62" tableBorderDxfId="63" totalsRowBorderDxfId="61">
  <autoFilter ref="D2:V98" xr:uid="{2B799E9B-ECF3-4DEA-8289-D0C66471D014}"/>
  <tableColumns count="19">
    <tableColumn id="1" xr3:uid="{872F0E25-58AC-4893-B5BF-874698FF6384}" name="Comuna" dataDxfId="60"/>
    <tableColumn id="20" xr3:uid="{BA254107-2D6A-46E1-8456-A16F65BBFDD6}" name="Comuna2" dataDxfId="59"/>
    <tableColumn id="17" xr3:uid="{A591A024-FC0F-49D3-A1DB-00ECC347AD28}" name="Nombre Comuna" dataDxfId="58"/>
    <tableColumn id="2" xr3:uid="{E3DA5250-BB79-47D4-99B9-A437A47B0050}" name="Comisión / Comité" dataDxfId="57"/>
    <tableColumn id="3" xr3:uid="{8CFD4A9B-41F7-4B72-A857-991ACF7850F3}" name="Nombre CCGRD" dataDxfId="56"/>
    <tableColumn id="4" xr3:uid="{CBD2E4AA-4F53-4457-8774-1C2C3AEFE3FB}" name="Nombre y Apellidos" dataDxfId="55"/>
    <tableColumn id="5" xr3:uid="{62558E3C-5C9A-4816-AF4E-005EB03E4F1E}" name="Cédula" dataDxfId="54"/>
    <tableColumn id="6" xr3:uid="{7B123C80-9DAA-4934-A1FF-8C7E5778501C}" name="Sexo" dataDxfId="53"/>
    <tableColumn id="7" xr3:uid="{6967A017-0F91-4E95-BA91-0050BEEDF77A}" name="Fecha de Nacimiento" dataDxfId="52"/>
    <tableColumn id="8" xr3:uid="{B7AA5410-7FAC-433A-A5C2-55BD38CD4199}" name="Edad" dataDxfId="51">
      <calculatedColumnFormula>DATEDIF(L3,TODAY(),"Y")</calculatedColumnFormula>
    </tableColumn>
    <tableColumn id="9" xr3:uid="{2C1A5C64-84E2-4B3F-A81F-6C7257E9217E}" name="Tipo de Sangre" dataDxfId="50"/>
    <tableColumn id="10" xr3:uid="{C15F3A16-E85C-4882-B93A-B1346E9F5329}" name="Celular" dataDxfId="49"/>
    <tableColumn id="11" xr3:uid="{5B0F11AA-E058-4CF7-840F-B0C292779068}" name="Correo Electrónico" dataDxfId="48"/>
    <tableColumn id="12" xr3:uid="{5F455D30-2349-4243-BDC8-3EF224C0A111}" name="Barrio" dataDxfId="47"/>
    <tableColumn id="13" xr3:uid="{7AC2F052-DAD1-49C2-863E-C599CD70919D}" name="Ocupación" dataDxfId="46"/>
    <tableColumn id="14" xr3:uid="{B956DF4E-2E81-4C36-A6CC-A32FABAB1D19}" name="EPS" dataDxfId="45"/>
    <tableColumn id="15" xr3:uid="{EF2155A5-1600-49ED-B427-7801BB18F64E}" name="Fecha de ingreso al CCGRD" dataDxfId="44"/>
    <tableColumn id="16" xr3:uid="{25E0DAB1-5A4B-4B71-92D2-7D3646F93287}" name="Rol en el Comité/Comisión" dataDxfId="43"/>
    <tableColumn id="21" xr3:uid="{22A419EF-7500-4FF5-9AE4-AB2C1A55269B}" name="Estado" dataDxfId="4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D1C114-46B8-4636-BA2C-D50E8AA78423}" name="Tabla3" displayName="Tabla3" ref="D2:V94" totalsRowShown="0" headerRowDxfId="502" dataDxfId="500" headerRowBorderDxfId="501" tableBorderDxfId="499" totalsRowBorderDxfId="498">
  <autoFilter ref="D2:V94" xr:uid="{8FD1C114-46B8-4636-BA2C-D50E8AA78423}"/>
  <tableColumns count="19">
    <tableColumn id="1" xr3:uid="{9D07CF12-E2DC-4DAB-BCD1-5A78016D74B4}" name="Comuna" dataDxfId="497"/>
    <tableColumn id="20" xr3:uid="{DBFFBD0A-D5C6-43D6-9EBE-D09A8F214C7E}" name="Comuna2" dataDxfId="496"/>
    <tableColumn id="2" xr3:uid="{60BE7733-2F33-4322-B3FD-6A3379813D93}" name="Nombre Comuna" dataDxfId="495"/>
    <tableColumn id="3" xr3:uid="{A5643B77-011F-4FDB-A695-23ABB654427D}" name="Comisión / Comité" dataDxfId="494"/>
    <tableColumn id="4" xr3:uid="{D62A2B7A-E014-40ED-821F-F81D2ED866DA}" name="Nombre CCGRD" dataDxfId="493"/>
    <tableColumn id="5" xr3:uid="{BDF11BC3-4FDF-4E46-A696-58A4077104A1}" name="Nombre y Apellidos" dataDxfId="492"/>
    <tableColumn id="6" xr3:uid="{69D8EE51-6B28-4D30-9897-D2F584A5D7C2}" name="Cédula" dataDxfId="491"/>
    <tableColumn id="7" xr3:uid="{3B8E095D-D6BE-4143-B9D1-4F3A5EF61F64}" name="Sexo" dataDxfId="490"/>
    <tableColumn id="8" xr3:uid="{E23A5F79-E88D-48A5-96CE-834A03889ADF}" name="Fecha de Nacimiento" dataDxfId="489"/>
    <tableColumn id="9" xr3:uid="{31FBE747-4A18-4C9C-A4B0-3226F6D7F1AC}" name="Edad" dataDxfId="488">
      <calculatedColumnFormula>DATEDIF(L3,TODAY(),"Y")</calculatedColumnFormula>
    </tableColumn>
    <tableColumn id="10" xr3:uid="{F109808B-FA5C-4400-8C13-FB5A9F441B36}" name="Tipo de Sangre" dataDxfId="487"/>
    <tableColumn id="11" xr3:uid="{503AAF7C-8CE4-4195-A2BA-D81A2DC88B55}" name="Celular" dataDxfId="486"/>
    <tableColumn id="12" xr3:uid="{C7D91658-A960-4A2A-A740-791C4D0CEDF5}" name="Correo Electrónico" dataDxfId="485"/>
    <tableColumn id="13" xr3:uid="{6D3E1F33-BDA8-4445-AE15-5A163ED7AFA5}" name="Barrio" dataDxfId="484"/>
    <tableColumn id="14" xr3:uid="{9CE1707D-82E2-4703-9DCC-B814F421E4A4}" name="Ocupación" dataDxfId="483"/>
    <tableColumn id="15" xr3:uid="{B780E666-AAA8-4B12-9C22-42E5EEC98529}" name="EPS" dataDxfId="482"/>
    <tableColumn id="16" xr3:uid="{BD1F6FD9-52CE-4BAE-92EC-A21C9332F038}" name="Fecha de ingreso al CCGRD" dataDxfId="481"/>
    <tableColumn id="17" xr3:uid="{2BFAE084-E87A-40DC-B4FA-201EAC3CC2CA}" name="Rol en el Comité/Comisión" dataDxfId="480"/>
    <tableColumn id="18" xr3:uid="{0BD51B25-1307-4D1A-A6A2-C588F1D5C6B4}" name="Estado" dataDxfId="47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4247C-EAC9-47C4-8ADA-58AD06887F69}" name="Tabla4" displayName="Tabla4" ref="D2:V127" totalsRowShown="0" headerRowDxfId="455" dataDxfId="454" tableBorderDxfId="453">
  <autoFilter ref="D2:V127" xr:uid="{3344247C-EAC9-47C4-8ADA-58AD06887F69}">
    <filterColumn colId="0">
      <customFilters>
        <customFilter operator="notEqual" val=" "/>
      </customFilters>
    </filterColumn>
  </autoFilter>
  <tableColumns count="19">
    <tableColumn id="1" xr3:uid="{6AA020BC-FDF0-479C-B82E-19E7150D8F3D}" name="Comuna" dataDxfId="452"/>
    <tableColumn id="2" xr3:uid="{D574D047-E6B6-4E78-8A5A-8DE83154691D}" name="Comuna2" dataDxfId="451"/>
    <tableColumn id="3" xr3:uid="{D9E1D4C7-F4E4-4156-ABFF-4205C185E735}" name="Nombre Comuna" dataDxfId="450"/>
    <tableColumn id="4" xr3:uid="{6CB23721-D183-4599-8347-65751846A772}" name="Comisión / Comité" dataDxfId="449"/>
    <tableColumn id="5" xr3:uid="{149451DE-0183-4CA4-9108-9E62CA1A6903}" name="Nombre CCGRD" dataDxfId="448"/>
    <tableColumn id="6" xr3:uid="{84F0D882-41CA-4B9C-A803-1C91FBD5665F}" name="Nombre y Apellidos" dataDxfId="447"/>
    <tableColumn id="7" xr3:uid="{89A5C740-1677-4202-AA48-753561DB8DB6}" name="Cédula" dataDxfId="446"/>
    <tableColumn id="8" xr3:uid="{58B1D545-A2D1-4E9D-9D71-631257E3221C}" name="Sexo" dataDxfId="445"/>
    <tableColumn id="9" xr3:uid="{FE5E740A-F3F9-4D73-85E1-075D0B897BE9}" name="Fecha de Nacimiento" dataDxfId="444"/>
    <tableColumn id="10" xr3:uid="{71643669-A8F7-4073-905B-E5FD67F624B8}" name="Edad" dataDxfId="443"/>
    <tableColumn id="11" xr3:uid="{69C7D918-8AD4-4EC9-9D3C-4B5321FF1251}" name="Tipo de Sangre" dataDxfId="442"/>
    <tableColumn id="12" xr3:uid="{B9A56740-9E50-42DE-9234-D6A239B5AD54}" name="Celular" dataDxfId="441"/>
    <tableColumn id="13" xr3:uid="{BF58FB1A-4945-433C-9D61-8B7BC486A1FD}" name="Correo Electrónico" dataDxfId="440"/>
    <tableColumn id="14" xr3:uid="{511E13C2-87E2-473F-9BA9-BA190E6EBFF3}" name="Barrio" dataDxfId="439"/>
    <tableColumn id="15" xr3:uid="{B35BF93A-695C-413F-885D-2DB385B23BFB}" name="Ocupación" dataDxfId="438"/>
    <tableColumn id="16" xr3:uid="{3B5CD6F6-16EB-45D1-AE04-BD0381E43B4F}" name="EPS" dataDxfId="437"/>
    <tableColumn id="17" xr3:uid="{1C6D10F1-AA30-4698-BA91-DE3CAD175725}" name="Fecha de ingreso al CCGRD" dataDxfId="436"/>
    <tableColumn id="18" xr3:uid="{05418633-2C47-4CF2-8552-7A00E63B7E28}" name="Rol en el Comité/Comisión" dataDxfId="435"/>
    <tableColumn id="19" xr3:uid="{F13BFFF5-2CB8-42FB-BE20-FAF0031B356B}" name="Estado" dataDxfId="43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F968CE-C6A1-4A78-980E-E295B2944E48}" name="Tabla5" displayName="Tabla5" ref="D2:V11" totalsRowShown="0" headerRowDxfId="433" dataDxfId="431" headerRowBorderDxfId="432" tableBorderDxfId="430">
  <autoFilter ref="D2:V11" xr:uid="{C8F968CE-C6A1-4A78-980E-E295B2944E48}"/>
  <tableColumns count="19">
    <tableColumn id="1" xr3:uid="{A9751195-4404-4900-ADBA-0D29CC6F4A36}" name="Comuna" dataDxfId="429"/>
    <tableColumn id="19" xr3:uid="{E7DB55B3-A3BE-4D5F-B18E-3DACF4F011A5}" name="Comuna2" dataDxfId="428"/>
    <tableColumn id="17" xr3:uid="{E101AFAF-FF02-4375-8913-845AB7F46BA2}" name="Nombre Comuna" dataDxfId="427"/>
    <tableColumn id="2" xr3:uid="{ADE1E0A9-F5F6-497E-8FA1-E269DC253C57}" name="Comisión / Comité" dataDxfId="426"/>
    <tableColumn id="3" xr3:uid="{B2C20A31-E249-4D81-B0C7-446913EABD1A}" name="Nombre CCGRD" dataDxfId="425"/>
    <tableColumn id="4" xr3:uid="{349BD2CA-EF65-4B72-B031-3F6B9EA7A178}" name="Nombre y Apellidos" dataDxfId="424"/>
    <tableColumn id="5" xr3:uid="{6378C9E9-2B67-4EE5-97FE-A27D1CB48A94}" name="Cédula" dataDxfId="423"/>
    <tableColumn id="6" xr3:uid="{946F7991-9605-4601-BA52-07025333E425}" name="Sexo" dataDxfId="422"/>
    <tableColumn id="7" xr3:uid="{1CAECBAC-B544-4D66-98A4-6F752B14036B}" name="Fecha de Nacimiento" dataDxfId="421"/>
    <tableColumn id="8" xr3:uid="{CEE2F779-F19F-409C-AF3C-4C829B3ACB5D}" name="Edad" dataDxfId="420">
      <calculatedColumnFormula>DATEDIF(L3,TODAY(),"Y")</calculatedColumnFormula>
    </tableColumn>
    <tableColumn id="9" xr3:uid="{5550E44A-5008-40CB-8377-C7DFDF70E490}" name="Tipo de Sangre" dataDxfId="419"/>
    <tableColumn id="10" xr3:uid="{46563B97-AD24-4930-9CA2-8C8A3418B0FC}" name="Celular" dataDxfId="418"/>
    <tableColumn id="11" xr3:uid="{B7CD510B-E355-42ED-ABB7-AC544FFD5462}" name="Correo Electrónico" dataDxfId="417"/>
    <tableColumn id="12" xr3:uid="{9EDEB2FE-BAF3-4F67-943C-97F57C3829CB}" name="Barrio" dataDxfId="416"/>
    <tableColumn id="13" xr3:uid="{1B0F0AAF-6DA8-4210-9C6F-8F4CB03DBED9}" name="Ocupación" dataDxfId="415"/>
    <tableColumn id="14" xr3:uid="{623BFBA6-3B90-45A6-88F2-B0DAE01C1E2C}" name="EPS" dataDxfId="414"/>
    <tableColumn id="15" xr3:uid="{5CE13934-F2BC-4A36-BF30-FD6C676530C4}" name="Fecha de ingreso al CCGRD" dataDxfId="413"/>
    <tableColumn id="16" xr3:uid="{79484B1C-49F0-4E70-9416-0D2627C331C9}" name="Rol en el Comité/Comisión" dataDxfId="412"/>
    <tableColumn id="18" xr3:uid="{4B31E27F-4AEE-4B6D-9447-D022131D7742}" name="Estado" dataDxfId="41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3130AE-0DDF-4095-AA04-6CD1C48360E2}" name="Tabla6" displayName="Tabla6" ref="D2:V14" totalsRowShown="0" headerRowDxfId="410" tableBorderDxfId="409">
  <autoFilter ref="D2:V14" xr:uid="{503130AE-0DDF-4095-AA04-6CD1C48360E2}"/>
  <tableColumns count="19">
    <tableColumn id="1" xr3:uid="{61231A7E-0FCF-464E-B570-640D106BF360}" name="Comuna" dataDxfId="408"/>
    <tableColumn id="2" xr3:uid="{32E07EC4-7B24-41CD-A7ED-3C152F44DEF1}" name="Comuna2" dataDxfId="407"/>
    <tableColumn id="18" xr3:uid="{2CF1D4F2-46D7-4EF2-8514-F0CE61CF1A6C}" name="Nombre Comuna" dataDxfId="406"/>
    <tableColumn id="3" xr3:uid="{D81A0596-ED16-464B-9933-F76DA55971E8}" name="Comisión / Comité" dataDxfId="405"/>
    <tableColumn id="4" xr3:uid="{5E054A17-79F0-4060-B845-2F3DDFF0CEF5}" name="Nombre CCGRD" dataDxfId="404"/>
    <tableColumn id="5" xr3:uid="{F8A77643-B3D4-492C-82AD-E14676E528EE}" name="Nombre y Apellidos" dataDxfId="403"/>
    <tableColumn id="6" xr3:uid="{1B988919-BCA4-4419-9996-72B3F3298A26}" name="Cédula" dataDxfId="402"/>
    <tableColumn id="7" xr3:uid="{7FE68D27-960C-489F-A2CF-A848ED500655}" name="Sexo" dataDxfId="401"/>
    <tableColumn id="8" xr3:uid="{D6E2207B-E967-4DA1-8D00-F1EA62F26DC0}" name="Fecha de Nacimiento" dataDxfId="400"/>
    <tableColumn id="9" xr3:uid="{48DB129B-1D12-4B53-828F-50EA7BFCADFE}" name="Edad" dataDxfId="399">
      <calculatedColumnFormula>DATEDIF(L3,TODAY(),"Y")</calculatedColumnFormula>
    </tableColumn>
    <tableColumn id="10" xr3:uid="{B63A5B4C-E78A-4F2A-B109-7F96E88B17BD}" name="Tipo de Sangre" dataDxfId="398"/>
    <tableColumn id="11" xr3:uid="{1D257D9B-E567-4573-864C-90FCBF10DFF4}" name="Celular" dataDxfId="397"/>
    <tableColumn id="12" xr3:uid="{D963C73E-F636-4B1A-B910-29FB67FAB030}" name="Correo Electrónico" dataDxfId="396"/>
    <tableColumn id="13" xr3:uid="{81B4B023-10FC-4D12-BF0E-FDDAEAEF43AE}" name="Barrio" dataDxfId="395"/>
    <tableColumn id="14" xr3:uid="{FBA23F7A-086C-4DAF-BA09-BC81A5136402}" name="Ocupación" dataDxfId="394"/>
    <tableColumn id="15" xr3:uid="{A2ED6393-21E4-4A82-BA93-29A6AA59D6F6}" name="EPS" dataDxfId="393"/>
    <tableColumn id="16" xr3:uid="{4150AC22-D984-46EC-92BD-58802A214823}" name="Fecha de ingreso al CCGRD" dataDxfId="392"/>
    <tableColumn id="17" xr3:uid="{233B51B2-ED4C-4F61-9E32-3FBA36F31BC6}" name="Rol en el Comité/Comisión" dataDxfId="391"/>
    <tableColumn id="19" xr3:uid="{7F2A320E-D3D7-4273-BCB0-3B31CF2BB646}" name="Estado" dataDxfId="39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B642AE-E6F7-4677-ADD6-BAA15C72BD81}" name="Tabla7" displayName="Tabla7" ref="D2:V139" totalsRowShown="0" headerRowDxfId="39" tableBorderDxfId="38">
  <autoFilter ref="D2:V139" xr:uid="{03B642AE-E6F7-4677-ADD6-BAA15C72BD81}">
    <filterColumn colId="0">
      <customFilters>
        <customFilter operator="notEqual" val=" "/>
      </customFilters>
    </filterColumn>
    <filterColumn colId="17">
      <filters>
        <filter val="Coordinador"/>
      </filters>
    </filterColumn>
  </autoFilter>
  <tableColumns count="19">
    <tableColumn id="1" xr3:uid="{12BC2026-25D4-4000-B28E-EC6D29509E8F}" name="Comuna" dataDxfId="389"/>
    <tableColumn id="2" xr3:uid="{E1F7979E-DE28-4713-843B-011BEE4E1137}" name="Comuna2" dataDxfId="388"/>
    <tableColumn id="18" xr3:uid="{8DFAAF9F-2FE5-4C3A-A36F-B0E13D9093E8}" name="Nombre Comuna" dataDxfId="387"/>
    <tableColumn id="3" xr3:uid="{16FE4396-A6F3-4F93-9817-2E56498D56F9}" name="Comisión / Comité" dataDxfId="386"/>
    <tableColumn id="4" xr3:uid="{AFCBF83F-6A7D-4435-AFDF-E1DEB285162E}" name="Nombre CCGRD" dataDxfId="385"/>
    <tableColumn id="5" xr3:uid="{B0001FCC-C4C0-4E1A-AB9A-EA0EE7387190}" name="Nombre y Apellidos" dataDxfId="384"/>
    <tableColumn id="6" xr3:uid="{02272EA2-78A5-4CB6-B942-7A168DD6BBD2}" name="Cédula" dataDxfId="383"/>
    <tableColumn id="7" xr3:uid="{C7B4551F-E985-40FA-B407-16984B499432}" name="Sexo" dataDxfId="382"/>
    <tableColumn id="8" xr3:uid="{E543E0D0-F3BE-4EDB-84C2-29EEF971EC1D}" name="Fecha de Nacimiento" dataDxfId="381"/>
    <tableColumn id="9" xr3:uid="{A433DC66-1706-4261-B110-871A787AFF1F}" name="Edad" dataDxfId="380"/>
    <tableColumn id="10" xr3:uid="{CECB2719-ED22-4A5E-A76F-A3D3AD21B2F9}" name="Tipo de Sangre" dataDxfId="379"/>
    <tableColumn id="11" xr3:uid="{E905E57C-2206-437D-9231-0128FA501BC2}" name="Celular" dataDxfId="378"/>
    <tableColumn id="12" xr3:uid="{B828884F-BE19-4F04-995A-6B4F6FB32F1B}" name="Correo Electrónico" dataDxfId="377"/>
    <tableColumn id="13" xr3:uid="{BA20761B-4D95-49CB-8E32-EE92A7781986}" name="Barrio" dataDxfId="376"/>
    <tableColumn id="14" xr3:uid="{6D19AB09-9501-4B3A-A084-51EEC0A58426}" name="Ocupación" dataDxfId="375"/>
    <tableColumn id="15" xr3:uid="{4C233A7B-07EA-44CD-B08E-A0C8D5A889B5}" name="EPS" dataDxfId="374"/>
    <tableColumn id="16" xr3:uid="{E6D9415E-3CD3-4ACA-AE20-3BABE5548C2E}" name="Fecha de ingreso al CCGRD" dataDxfId="373"/>
    <tableColumn id="17" xr3:uid="{1D53BAE0-6166-4151-8C3A-535F1225EEEE}" name="Rol en el Comité/Comisión" dataDxfId="372"/>
    <tableColumn id="19" xr3:uid="{08BBB8B4-5CDE-4517-AABC-6147EF794F48}" name="Estado" dataDxfId="37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59835A-09C5-406B-A614-C6B70D3C81C0}" name="Tabla8" displayName="Tabla8" ref="D2:V233" totalsRowShown="0" headerRowDxfId="370" tableBorderDxfId="369">
  <autoFilter ref="D2:V233" xr:uid="{2A59835A-09C5-406B-A614-C6B70D3C81C0}"/>
  <tableColumns count="19">
    <tableColumn id="1" xr3:uid="{FC5520A8-3517-4455-8808-67DAED4E60C6}" name="Comuna" dataDxfId="368"/>
    <tableColumn id="2" xr3:uid="{D2334F86-A141-4F8B-BBD0-BA919DE4F512}" name="Comuna2" dataDxfId="367"/>
    <tableColumn id="3" xr3:uid="{934B58F3-E0AF-4F40-92B5-833970051877}" name="Nombre Comuna" dataDxfId="366"/>
    <tableColumn id="4" xr3:uid="{892B704B-C485-4854-BB1C-6FA2211E5EDD}" name="Comisión / Comité" dataDxfId="365"/>
    <tableColumn id="5" xr3:uid="{4844920F-9330-4A8F-AB40-D918DD96AD20}" name="Nombre CCGRD" dataDxfId="364"/>
    <tableColumn id="6" xr3:uid="{304DAAF2-8881-4204-9BC3-C44E4F82350D}" name="Nombre y Apellidos" dataDxfId="363"/>
    <tableColumn id="7" xr3:uid="{8E814847-6E55-40F3-A405-57591A19A12C}" name="Cédula" dataDxfId="362"/>
    <tableColumn id="8" xr3:uid="{14F66FAF-F9A0-4DEF-87A8-450B46C3DB0D}" name="Sexo" dataDxfId="361"/>
    <tableColumn id="9" xr3:uid="{C42F256C-9D5F-4FB6-9266-19F57496C949}" name="Fecha de Nacimiento" dataDxfId="360"/>
    <tableColumn id="10" xr3:uid="{6E45A3C4-CD22-40FE-932D-AAC84DF4DCBD}" name="Edad" dataDxfId="359"/>
    <tableColumn id="11" xr3:uid="{C88A9029-BC61-4304-92A3-928C24C3BCE7}" name="Tipo de Sangre" dataDxfId="358"/>
    <tableColumn id="12" xr3:uid="{F31C6A99-F7B7-41BD-8A81-9144A3B9D8FA}" name="Celular" dataDxfId="357"/>
    <tableColumn id="13" xr3:uid="{B71236AF-802F-492A-956F-668FB0510C19}" name="Correo Electrónico" dataDxfId="356"/>
    <tableColumn id="14" xr3:uid="{88277EAF-838E-4B9A-A95D-395667175054}" name="Barrio" dataDxfId="355"/>
    <tableColumn id="15" xr3:uid="{889FEFC2-40A0-4B76-B3E8-0F0333493EC4}" name="Ocupación" dataDxfId="354"/>
    <tableColumn id="16" xr3:uid="{A541EE3F-9CD2-4DD6-B239-3453AE90A013}" name="EPS" dataDxfId="353"/>
    <tableColumn id="17" xr3:uid="{7442A810-DAF5-456E-9847-6CC8090EEDF2}" name="Fecha de ingreso al CCGRD" dataDxfId="352"/>
    <tableColumn id="18" xr3:uid="{28C7C98D-F5BA-4FAF-B8F4-8C2CED882565}" name="Rol en el Comité/Comisión" dataDxfId="351"/>
    <tableColumn id="19" xr3:uid="{BA812232-CCD7-4455-AF23-98DEDA5FD132}" name="Estado" dataDxfId="35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7FCFA7-D7DE-40D4-B122-104AAC7FC544}" name="Tabla9" displayName="Tabla9" ref="D2:V24" totalsRowShown="0" headerRowDxfId="349" tableBorderDxfId="348">
  <autoFilter ref="D2:V24" xr:uid="{717FCFA7-D7DE-40D4-B122-104AAC7FC544}"/>
  <tableColumns count="19">
    <tableColumn id="1" xr3:uid="{C18B0494-E65A-4D2D-BE54-4F31039970A0}" name="Comuna" dataDxfId="347"/>
    <tableColumn id="2" xr3:uid="{32B16E3D-A1F5-4359-BC50-78E7400BF0CC}" name="Comuna2" dataDxfId="346"/>
    <tableColumn id="18" xr3:uid="{46723AC8-DE37-48D2-8071-8AF494510A33}" name="Nombre Comuna" dataDxfId="345"/>
    <tableColumn id="3" xr3:uid="{5FDE8CB6-CA16-4746-8CA1-4B7D49A8F2E0}" name="Comisión / Comité" dataDxfId="344"/>
    <tableColumn id="4" xr3:uid="{C1AE93A4-CD71-43D0-A1DF-08797FB3D697}" name="Nombre CCGRD" dataDxfId="343"/>
    <tableColumn id="5" xr3:uid="{7CD951D6-020B-4445-A8B2-9AF45E7BDE91}" name="Nombre y Apellidos" dataDxfId="342"/>
    <tableColumn id="6" xr3:uid="{FF099E15-66C6-4E7C-AD40-CAB2F3C4CD31}" name="Cédula" dataDxfId="341"/>
    <tableColumn id="7" xr3:uid="{C72CB7FD-2644-4108-87B0-A4291189C4C2}" name="Sexo" dataDxfId="340"/>
    <tableColumn id="8" xr3:uid="{2D461146-6414-4D9F-863B-B3899672F696}" name="Fecha de Nacimiento" dataDxfId="339"/>
    <tableColumn id="9" xr3:uid="{7709F8F0-C5EA-44BD-86D9-CDF06ED1A6D0}" name="Edad" dataDxfId="338">
      <calculatedColumnFormula>DATEDIF(L3,TODAY(),"Y")</calculatedColumnFormula>
    </tableColumn>
    <tableColumn id="10" xr3:uid="{E1EA627A-0D01-4322-AB90-1B015492B973}" name="Tipo de Sangre" dataDxfId="337"/>
    <tableColumn id="11" xr3:uid="{3444054F-A0C4-4C3C-BCCF-DE9FF718E832}" name="Celular" dataDxfId="336"/>
    <tableColumn id="12" xr3:uid="{BFC43CD4-BE7A-409A-91F6-93C71E1C6E10}" name="Correo Electrónico" dataDxfId="335"/>
    <tableColumn id="13" xr3:uid="{DCD11522-AAD5-42B9-BB1E-0DD0DC597735}" name="Barrio" dataDxfId="334"/>
    <tableColumn id="14" xr3:uid="{CE333120-3B36-4EB1-A198-673DDEF82E64}" name="Ocupación" dataDxfId="333"/>
    <tableColumn id="15" xr3:uid="{EEE56181-DE15-4E85-BEF8-09E765F3D1E3}" name="EPS" dataDxfId="332"/>
    <tableColumn id="16" xr3:uid="{56D0CAFC-67A4-44F6-A730-5FAE1C4C93B1}" name="Fecha de ingreso al CCGRD" dataDxfId="331"/>
    <tableColumn id="17" xr3:uid="{3429F948-0D5A-47A1-9ABA-4742A0C7AC10}" name="Rol en el Comité/Comisión" dataDxfId="330"/>
    <tableColumn id="19" xr3:uid="{67A2A6EC-FB22-4D57-B49D-6752D597307E}" name="Estado" dataDxfId="32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E3F9DA-87B2-4533-B558-3989A963D460}" name="Tabla10" displayName="Tabla10" ref="D2:V11" totalsRowShown="0" headerRowDxfId="328" headerRowBorderDxfId="327" tableBorderDxfId="326">
  <autoFilter ref="D2:V11" xr:uid="{7DE3F9DA-87B2-4533-B558-3989A963D460}"/>
  <tableColumns count="19">
    <tableColumn id="1" xr3:uid="{17888951-0CE5-4F38-A1D2-3DCF93B3F75F}" name="Comuna" dataDxfId="325"/>
    <tableColumn id="19" xr3:uid="{19D8E2DA-BCBA-467E-B334-B046E9BEF34D}" name="Comuna2" dataDxfId="324"/>
    <tableColumn id="17" xr3:uid="{0E494287-0F7C-4D14-8452-9662B87F290B}" name="Nombre Comuna" dataDxfId="323"/>
    <tableColumn id="2" xr3:uid="{8A111F0F-D0F8-4B58-8A5B-48D6965D4844}" name="Comisión / Comité" dataDxfId="322"/>
    <tableColumn id="3" xr3:uid="{D82E07C0-51EF-438C-876C-F564CD49B5A4}" name="Nombre CCGRD" dataDxfId="321"/>
    <tableColumn id="4" xr3:uid="{5DD373FF-133D-4CD9-BCFF-4E482E2B95D9}" name="Nombre y Apellidos" dataDxfId="320"/>
    <tableColumn id="5" xr3:uid="{AB79FEB7-4DD4-4A76-B6B2-7A7D62E4547C}" name="Cédula" dataDxfId="319"/>
    <tableColumn id="6" xr3:uid="{9A883DC0-4ACC-45F6-A910-15CE9561F5FD}" name="Sexo" dataDxfId="318"/>
    <tableColumn id="7" xr3:uid="{360CC7E4-92E0-4105-89A8-C6534344FC4A}" name="Fecha de Nacimiento" dataDxfId="317"/>
    <tableColumn id="8" xr3:uid="{3A082991-2A8E-4B59-8CF3-11056E369D81}" name="Edad" dataDxfId="316"/>
    <tableColumn id="9" xr3:uid="{CA46472E-B717-4343-A8D8-208E714A660A}" name="Tipo de Sangre" dataDxfId="315"/>
    <tableColumn id="10" xr3:uid="{9CF63041-5C50-40EE-AF53-C2D8939D1639}" name="Celular" dataDxfId="314"/>
    <tableColumn id="11" xr3:uid="{44642493-7C66-4997-8AC3-D661B0B13BC8}" name="Correo Electrónico" dataDxfId="313"/>
    <tableColumn id="12" xr3:uid="{EADC79FA-0FAE-495A-88BC-3103F3EA1861}" name="Barrio" dataDxfId="312"/>
    <tableColumn id="13" xr3:uid="{E2026839-3E8A-47A0-83D4-3DA89E5A0A6F}" name="Ocupación" dataDxfId="311"/>
    <tableColumn id="14" xr3:uid="{60D7A69E-0C6F-467F-A3ED-4DF063F69D0D}" name="EPS" dataDxfId="310"/>
    <tableColumn id="15" xr3:uid="{738FB4B5-C13D-468D-AF87-8B53D44A225E}" name="Fecha de ingreso al CCGRD" dataDxfId="309"/>
    <tableColumn id="16" xr3:uid="{F39DBC28-9229-4470-8767-0551C3313FB9}" name="Rol en el Comité/Comisión" dataDxfId="308"/>
    <tableColumn id="18" xr3:uid="{038CB10D-31B4-4A99-BCE4-69BFE358FF1C}" name="Estado" dataDxfId="30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F67A7C-62DE-426F-B54C-3A5B2D656DC7}" name="Tabla11" displayName="Tabla11" ref="D2:V4" totalsRowShown="0" headerRowDxfId="306" dataDxfId="304" headerRowBorderDxfId="305" tableBorderDxfId="303">
  <autoFilter ref="D2:V4" xr:uid="{15F67A7C-62DE-426F-B54C-3A5B2D656DC7}"/>
  <tableColumns count="19">
    <tableColumn id="1" xr3:uid="{CE64C080-F2D3-450F-B4EE-1DD3626C6865}" name="Comuna" dataDxfId="302"/>
    <tableColumn id="19" xr3:uid="{C6A992E3-D2AC-4F84-8DB0-F5AC68069F22}" name="Comuna2" dataDxfId="301"/>
    <tableColumn id="2" xr3:uid="{812E2A6F-5FBA-4670-B189-3C2B132A80DC}" name="Nombre Comuna" dataDxfId="300"/>
    <tableColumn id="3" xr3:uid="{9874931A-D4E3-42B1-8AD6-4D3BA3011644}" name="Comisión / Comité" dataDxfId="299"/>
    <tableColumn id="4" xr3:uid="{B9EF417E-C8EF-4D83-ACCB-FFFDADB7F537}" name="Nombre CCGRD" dataDxfId="298"/>
    <tableColumn id="5" xr3:uid="{26A51FDB-C2DA-42D9-86E1-73CD7CD74303}" name="Nombre y Apellidos" dataDxfId="297"/>
    <tableColumn id="6" xr3:uid="{14E8A9DA-3B25-419B-B7D5-EF293D3D4E16}" name="Cédula" dataDxfId="296"/>
    <tableColumn id="7" xr3:uid="{7391750A-E7F6-46ED-AF2B-5F5A97E61E4A}" name="Sexo" dataDxfId="295"/>
    <tableColumn id="8" xr3:uid="{32AC5130-61E2-4451-9BFF-FF3F9048B8B6}" name="Fecha de Nacimiento" dataDxfId="294"/>
    <tableColumn id="9" xr3:uid="{4840C75F-9A55-4C97-A7D8-458D10AEF49F}" name="Edad" dataDxfId="293">
      <calculatedColumnFormula>DATEDIF(L3,TODAY(),"Y")</calculatedColumnFormula>
    </tableColumn>
    <tableColumn id="10" xr3:uid="{4DBE913B-CD03-4609-9D6A-6C78BB6CE549}" name="Tipo de Sangre" dataDxfId="292"/>
    <tableColumn id="11" xr3:uid="{FD5D0CBC-D867-4FB0-A563-F4B004F677F9}" name="Celular" dataDxfId="291"/>
    <tableColumn id="12" xr3:uid="{46DF39EA-0B7B-4DC3-BBBD-150466177FB0}" name="Correo Electrónico" dataDxfId="290"/>
    <tableColumn id="13" xr3:uid="{B205DE28-6782-47BA-96FE-0592248D904B}" name="Barrio" dataDxfId="289"/>
    <tableColumn id="14" xr3:uid="{AFC128F5-2A0E-49F2-9A22-2714E62EAF69}" name="Ocupación" dataDxfId="288"/>
    <tableColumn id="15" xr3:uid="{BB06F91F-34A4-42F8-B0D8-E5485D6A84AE}" name="EPS" dataDxfId="287"/>
    <tableColumn id="16" xr3:uid="{202F6899-F17E-4103-9E55-AE072E5D33F3}" name="Fecha de ingreso al CCGRD" dataDxfId="286"/>
    <tableColumn id="17" xr3:uid="{6E12DC93-7CEC-4921-A9A7-0C31C85A9EB1}" name="Rol en el Comité/Comisión" dataDxfId="285"/>
    <tableColumn id="18" xr3:uid="{DEA01526-1F86-4F96-9CDF-F9E32F2B2A8D}" name="Estado" dataDxfId="284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40E080-DEDA-4722-B10A-E10BAF8AF14B}" name="Tabla12" displayName="Tabla12" ref="D2:V11" totalsRowShown="0" headerRowDxfId="283" dataDxfId="281" headerRowBorderDxfId="282" tableBorderDxfId="280">
  <autoFilter ref="D2:V11" xr:uid="{BB40E080-DEDA-4722-B10A-E10BAF8AF14B}"/>
  <tableColumns count="19">
    <tableColumn id="1" xr3:uid="{850B143C-7398-4D14-8743-F80251B8879E}" name="Comuna" dataDxfId="279"/>
    <tableColumn id="19" xr3:uid="{B72F004D-CA70-488F-94FC-C49E6ABEAFDF}" name="Comuna2" dataDxfId="278"/>
    <tableColumn id="2" xr3:uid="{7BA26A74-F60B-4458-B3CC-9B528351F2AE}" name="Nombre Comuna" dataDxfId="277"/>
    <tableColumn id="3" xr3:uid="{86783C10-4DA3-4753-A47C-C599A1DD83D3}" name="Comisión / Comité" dataDxfId="276"/>
    <tableColumn id="4" xr3:uid="{BC499BF8-534C-4E7A-9730-406E11BABB43}" name="Nombre CCGRD" dataDxfId="275"/>
    <tableColumn id="5" xr3:uid="{C8AAAA50-F861-4301-A7B8-4BE326AEE712}" name="Nombre y Apellidos" dataDxfId="274"/>
    <tableColumn id="6" xr3:uid="{AA6B7923-BD0C-488A-94BC-02D8FD517BF0}" name="Cédula" dataDxfId="273"/>
    <tableColumn id="7" xr3:uid="{D9517643-0688-4F3F-929F-338B754977E7}" name="Sexo" dataDxfId="272"/>
    <tableColumn id="8" xr3:uid="{4F82F611-785E-4268-81D4-68BB63D05F98}" name="Fecha de Nacimiento" dataDxfId="271"/>
    <tableColumn id="9" xr3:uid="{D1945FFB-9EE2-4981-B3EB-000505B85F23}" name="Edad" dataDxfId="270">
      <calculatedColumnFormula>DATEDIF(L3,TODAY(),"Y")</calculatedColumnFormula>
    </tableColumn>
    <tableColumn id="10" xr3:uid="{F68F7A7F-B113-421C-81E9-0507BD02D55F}" name="Tipo de Sangre" dataDxfId="269"/>
    <tableColumn id="11" xr3:uid="{8E90391A-57E5-444E-B3B7-2C4152B55284}" name="Celular" dataDxfId="268"/>
    <tableColumn id="12" xr3:uid="{E7496492-680E-4F26-8413-DD5F4DE4059A}" name="Correo Electrónico" dataDxfId="267"/>
    <tableColumn id="13" xr3:uid="{0D5A64F4-3872-4F35-A98B-CDE856225FF8}" name="Barrio" dataDxfId="266"/>
    <tableColumn id="14" xr3:uid="{68B84912-4971-43DD-9D75-D1A00E3C8605}" name="Ocupación" dataDxfId="265"/>
    <tableColumn id="15" xr3:uid="{50812241-DABB-462F-9A6B-5F0F011C691F}" name="EPS" dataDxfId="264"/>
    <tableColumn id="16" xr3:uid="{F770662C-ECF2-47F7-8348-9995AEDCABA2}" name="Fecha de ingreso al CCGRD" dataDxfId="263"/>
    <tableColumn id="17" xr3:uid="{E20B860E-A938-4DAC-B335-5BB1DE43FBB2}" name="Rol en el Comité/Comisión" dataDxfId="262"/>
    <tableColumn id="18" xr3:uid="{5CD11E8D-0814-4BB3-89BB-45A107D4F3E4}" name="Estado" dataDxfId="261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99B475-14AB-4AB4-AFFD-670152DA4A7C}" name="Tabla13" displayName="Tabla13" ref="D2:V18" totalsRowShown="0" headerRowDxfId="260" tableBorderDxfId="259">
  <autoFilter ref="D2:V18" xr:uid="{0F99B475-14AB-4AB4-AFFD-670152DA4A7C}"/>
  <tableColumns count="19">
    <tableColumn id="1" xr3:uid="{B764DDC1-E921-4D06-B0CD-D66FFB5EFCFE}" name="Comuna" dataDxfId="258"/>
    <tableColumn id="2" xr3:uid="{33B94E9B-7266-4607-B456-4BF5E1B89EF1}" name="Comuna2" dataDxfId="257"/>
    <tableColumn id="3" xr3:uid="{341D6063-2223-4199-BF61-B9AED2FD6C02}" name="Nombre Comuna" dataDxfId="256"/>
    <tableColumn id="4" xr3:uid="{BD103A5E-F735-4609-A1F3-28E1BAD9F94C}" name="Comisión / Comité" dataDxfId="255"/>
    <tableColumn id="5" xr3:uid="{AC95FDF4-501E-45ED-9A93-6DB074F50163}" name="Nombre CCGRD" dataDxfId="254"/>
    <tableColumn id="6" xr3:uid="{D692E1FD-3583-4FEE-BA70-F5AF7B597B99}" name="Nombre y Apellidos" dataDxfId="253"/>
    <tableColumn id="7" xr3:uid="{E4BE252D-5F11-43D7-A7D6-9E6EB07F53D1}" name="Cédula" dataDxfId="252"/>
    <tableColumn id="8" xr3:uid="{8B5D4152-4A3F-46EF-B6B5-ECA826CC2C74}" name="Sexo" dataDxfId="251"/>
    <tableColumn id="9" xr3:uid="{94F79DA8-1F3C-4E4C-BBB2-630A95ACA633}" name="Fecha de Nacimiento" dataDxfId="250"/>
    <tableColumn id="10" xr3:uid="{BCE90DEE-2F8B-4EDB-AB92-6C71BD06152D}" name="Edad" dataDxfId="249">
      <calculatedColumnFormula>DATEDIF(L3,TODAY(),"Y")</calculatedColumnFormula>
    </tableColumn>
    <tableColumn id="11" xr3:uid="{C22161AD-0C74-4361-AF38-489E61C64E98}" name="Tipo de Sangre" dataDxfId="248"/>
    <tableColumn id="12" xr3:uid="{406AECBB-F0F7-4FED-B6DC-D36BE8D8A0B6}" name="Celular" dataDxfId="247"/>
    <tableColumn id="13" xr3:uid="{6EC209F8-CCEF-46FC-9695-33F7B4ED57F9}" name="Correo Electrónico" dataDxfId="246"/>
    <tableColumn id="14" xr3:uid="{AD016FBD-65C4-4C18-904A-569E96D3777B}" name="Barrio" dataDxfId="245"/>
    <tableColumn id="15" xr3:uid="{AAAE57B8-420D-4ED4-BDC6-787F91835E75}" name="Ocupación" dataDxfId="244"/>
    <tableColumn id="16" xr3:uid="{95F0F85C-FF1F-41AD-9217-50E1E0BB0008}" name="EPS" dataDxfId="243"/>
    <tableColumn id="17" xr3:uid="{B251516C-CEA4-46EC-B143-4DD1BC1AB538}" name="Fecha de ingreso al CCGRD" dataDxfId="242"/>
    <tableColumn id="18" xr3:uid="{958D9518-74F7-4AA0-98C1-259C9E5EB148}" name="Rol en el Comité/Comisión" dataDxfId="241"/>
    <tableColumn id="19" xr3:uid="{EA14F155-E84C-4177-8822-D907A1420832}" name="Estado" dataDxfId="240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5E69DEC-E7FE-48B2-A49A-F27F099C68C2}" name="Tabla14" displayName="Tabla14" ref="D2:V4" totalsRowShown="0" headerRowDxfId="239" headerRowBorderDxfId="238" tableBorderDxfId="237">
  <autoFilter ref="D2:V4" xr:uid="{E5E69DEC-E7FE-48B2-A49A-F27F099C68C2}"/>
  <tableColumns count="19">
    <tableColumn id="1" xr3:uid="{CC2286BA-A343-4BCD-9B5A-1DD821FA0FD6}" name="Comuna" dataDxfId="236"/>
    <tableColumn id="19" xr3:uid="{CAE2A2CD-86C0-431C-95F5-882F04F54C33}" name="Comuna2" dataDxfId="235"/>
    <tableColumn id="2" xr3:uid="{3CFF3CD1-50AC-4EE8-91F3-A00DCD4D1421}" name="Nombre Comuna" dataDxfId="234"/>
    <tableColumn id="3" xr3:uid="{C03DE19D-C564-419C-A78C-952339D5723B}" name="Comisión / Comité" dataDxfId="233"/>
    <tableColumn id="4" xr3:uid="{99F3538E-5BBF-41DF-A0E5-14B51E9456AC}" name="Nombre CCGRD" dataDxfId="232"/>
    <tableColumn id="5" xr3:uid="{148F79F5-42F2-409C-8320-08E7A03C0CA9}" name="Nombre y Apellidos" dataDxfId="231"/>
    <tableColumn id="6" xr3:uid="{80C00674-F78A-46C6-8A9B-07248AF42ABB}" name="Cédula" dataDxfId="230"/>
    <tableColumn id="7" xr3:uid="{147DD581-B301-4DA8-BAE2-D05F6EF81617}" name="Sexo" dataDxfId="229"/>
    <tableColumn id="8" xr3:uid="{4C723D5F-3E7A-41B2-806F-CBAF38462FCC}" name="Fecha de Nacimiento" dataDxfId="228"/>
    <tableColumn id="9" xr3:uid="{26EF9328-53B7-4E0A-A841-B6F4C5E5F4F1}" name="Edad" dataDxfId="227">
      <calculatedColumnFormula>DATEDIF(L3,TODAY(),"Y")</calculatedColumnFormula>
    </tableColumn>
    <tableColumn id="10" xr3:uid="{8A46D570-9B3A-4F54-832D-51973CCC7B28}" name="Tipo de Sangre" dataDxfId="226"/>
    <tableColumn id="11" xr3:uid="{77056630-409A-4896-89D1-AE674190728B}" name="Celular" dataDxfId="225"/>
    <tableColumn id="12" xr3:uid="{3B8CE7E9-CA9C-4EF6-BA5D-9FAF67C7710E}" name="Correo Electrónico" dataDxfId="224"/>
    <tableColumn id="13" xr3:uid="{F0A4AB98-0A05-473E-B22D-F9A479C543DA}" name="Barrio" dataDxfId="223"/>
    <tableColumn id="14" xr3:uid="{B3FF2D94-3C25-4473-9C80-8FB6FA901858}" name="Ocupación" dataDxfId="222"/>
    <tableColumn id="15" xr3:uid="{B54E1458-7D33-4D23-AB75-6C746C066600}" name="EPS" dataDxfId="221"/>
    <tableColumn id="16" xr3:uid="{080E561E-482A-4459-AAFB-3890932CBDBC}" name="Fecha de ingreso al CCGRD" dataDxfId="220"/>
    <tableColumn id="17" xr3:uid="{5AF36575-7E77-4DD5-B1A8-6E7E25EA4452}" name="Rol en el Comité/Comisión" dataDxfId="219"/>
    <tableColumn id="18" xr3:uid="{816099C6-D83B-4E6B-A2E5-EF4FCC154C7E}" name="Estado" dataDxfId="218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696F7CB-E0F9-42F1-96A9-40ABA1CE57E8}" name="Tabla15" displayName="Tabla15" ref="D2:V96" totalsRowShown="0" headerRowDxfId="217" dataDxfId="216" tableBorderDxfId="215">
  <autoFilter ref="D2:V96" xr:uid="{D696F7CB-E0F9-42F1-96A9-40ABA1CE57E8}"/>
  <tableColumns count="19">
    <tableColumn id="1" xr3:uid="{C82FFFDB-C471-40F6-9EC9-465653FBD26E}" name="Comuna" dataDxfId="214"/>
    <tableColumn id="20" xr3:uid="{BC7CB241-E6D4-493A-B9E0-2123B2D92A52}" name="Comuna2" dataDxfId="213"/>
    <tableColumn id="18" xr3:uid="{2E247175-E7A6-493E-979E-137AF9BCC635}" name="Nombre Comuna" dataDxfId="212"/>
    <tableColumn id="3" xr3:uid="{93758953-18B6-46E6-ACF4-64531C8A3949}" name="Comisión / Comité" dataDxfId="211"/>
    <tableColumn id="4" xr3:uid="{231903A2-664D-4C2E-B7CF-9064920F0F24}" name="Nombre CCGRD" dataDxfId="210"/>
    <tableColumn id="5" xr3:uid="{FC521E11-CDC5-407E-8856-394FD676AFD1}" name="Nombre y Apellidos" dataDxfId="209"/>
    <tableColumn id="6" xr3:uid="{D0087B18-71A6-4078-9737-CADE9E12292D}" name="Cédula" dataDxfId="208"/>
    <tableColumn id="7" xr3:uid="{1FE62F9F-74A5-4433-9272-EF47F1965E79}" name="Sexo" dataDxfId="207"/>
    <tableColumn id="8" xr3:uid="{93D9E8AF-229A-428E-9B7D-4533970E1F27}" name="Fecha de Nacimiento" dataDxfId="206"/>
    <tableColumn id="9" xr3:uid="{1CBA8F40-0A6F-464D-A4A0-A9081D9D2C2F}" name="Edad" dataDxfId="205"/>
    <tableColumn id="10" xr3:uid="{36269F66-9B6A-4140-BA6A-591E84891367}" name="Tipo de Sangre" dataDxfId="204"/>
    <tableColumn id="11" xr3:uid="{BC89C56C-011A-4EBE-8862-F7B01ECE5421}" name="Celular" dataDxfId="203"/>
    <tableColumn id="12" xr3:uid="{322ECD6A-2B58-4DD3-B29E-0F0C5B76DE8F}" name="Correo Electrónico" dataDxfId="202"/>
    <tableColumn id="13" xr3:uid="{03E18114-FE2C-4562-8CF6-7CC55EE2FF45}" name="Barrio" dataDxfId="201"/>
    <tableColumn id="14" xr3:uid="{96DD1B41-7FC5-4395-A8DC-A37621828D34}" name="Ocupación" dataDxfId="200"/>
    <tableColumn id="15" xr3:uid="{0BF4A623-9064-42C2-992C-6F882D70E685}" name="EPS" dataDxfId="199"/>
    <tableColumn id="16" xr3:uid="{1BD5358F-96F6-4CCE-A73A-D0ACB3F5BC48}" name="Fecha de ingreso al CCGRD" dataDxfId="198"/>
    <tableColumn id="17" xr3:uid="{FA8240FF-0C5F-405D-A952-A2284FE537E5}" name="Rol en el Comité/Comisión" dataDxfId="197"/>
    <tableColumn id="19" xr3:uid="{A32AA153-9A9E-47FB-967E-DF7FE47F0FEE}" name="Estado" dataDxfId="196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FC95127-C85F-4C12-9613-08991D1B7CC7}" name="Tabla16" displayName="Tabla16" ref="D2:V9" totalsRowShown="0" headerRowDxfId="195" headerRowBorderDxfId="194" tableBorderDxfId="193">
  <autoFilter ref="D2:V9" xr:uid="{BFC95127-C85F-4C12-9613-08991D1B7CC7}"/>
  <tableColumns count="19">
    <tableColumn id="1" xr3:uid="{22BFF5E2-FFF5-411E-BA28-3388F1EFF8B7}" name="Comuna" dataDxfId="192"/>
    <tableColumn id="19" xr3:uid="{17436F14-AD75-4AA4-A254-E5580288ADEC}" name="Comuna2" dataDxfId="191"/>
    <tableColumn id="17" xr3:uid="{35B958AC-F858-492E-BDCE-E21FE01A2E03}" name="Nombre Comuna" dataDxfId="190"/>
    <tableColumn id="2" xr3:uid="{E286C418-0588-45E1-B546-4F0A8325AE48}" name="Comisión / Comité" dataDxfId="189"/>
    <tableColumn id="3" xr3:uid="{E294905D-BD8F-4E83-998B-BA1027ADF78D}" name="Nombre CCGRD" dataDxfId="188"/>
    <tableColumn id="4" xr3:uid="{02F4DD91-2099-40F7-990E-8C112EACDAB4}" name="Nombre y Apellidos" dataDxfId="187"/>
    <tableColumn id="5" xr3:uid="{E8EC778E-1CDE-4E49-A315-16EAF10E611F}" name="Cédula" dataDxfId="186"/>
    <tableColumn id="6" xr3:uid="{091BC1DE-A613-48DE-8454-8020531C1B26}" name="Sexo" dataDxfId="185"/>
    <tableColumn id="7" xr3:uid="{B8FAFA78-9734-4148-BB77-00B4AA408EEA}" name="Fecha de Nacimiento" dataDxfId="184"/>
    <tableColumn id="8" xr3:uid="{F0EF6748-CCF8-4CC0-8720-615DC84264AB}" name="Edad" dataDxfId="183">
      <calculatedColumnFormula>DATEDIF(L3,TODAY(),"Y")</calculatedColumnFormula>
    </tableColumn>
    <tableColumn id="9" xr3:uid="{2476C929-886F-44BE-BAC5-0F2839379689}" name="Tipo de Sangre" dataDxfId="182"/>
    <tableColumn id="10" xr3:uid="{6DA95DD9-8E64-4EDF-9902-FA75302BC4CD}" name="Celular" dataDxfId="181"/>
    <tableColumn id="11" xr3:uid="{37125BF0-DFC0-4ADA-972C-3C39F981F818}" name="Correo Electrónico" dataDxfId="180"/>
    <tableColumn id="12" xr3:uid="{669027C6-B331-4ECC-89F2-6B67D03FAFEF}" name="Barrio" dataDxfId="179"/>
    <tableColumn id="13" xr3:uid="{F153BC7B-2E16-4614-A305-AB05558B99F4}" name="Ocupación" dataDxfId="178"/>
    <tableColumn id="14" xr3:uid="{CD6B3806-9325-43D9-9446-5857E5B42BB3}" name="EPS" dataDxfId="177"/>
    <tableColumn id="15" xr3:uid="{3958BE4C-5AD1-4DF8-9B78-D39C32F37356}" name="Fecha de ingreso al CCGRD" dataDxfId="176"/>
    <tableColumn id="16" xr3:uid="{F09F703E-AEE6-4821-A368-612CC45FAEC5}" name="Rol en el Comité/Comisión" dataDxfId="175"/>
    <tableColumn id="18" xr3:uid="{5E018727-0D8A-4D35-A9CB-C52C5B38D821}" name="Estado" dataDxfId="174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C62ABF7-4CC2-4A16-B1C4-ABE7084E8741}" name="Tabla50" displayName="Tabla50" ref="D2:V4" totalsRowShown="0" headerRowDxfId="173" dataDxfId="171" headerRowBorderDxfId="172" tableBorderDxfId="170">
  <autoFilter ref="D2:V4" xr:uid="{CC62ABF7-4CC2-4A16-B1C4-ABE7084E8741}"/>
  <tableColumns count="19">
    <tableColumn id="1" xr3:uid="{AB0EE14C-4F8F-410B-8916-DDF76D81E972}" name="Comuna" dataDxfId="169"/>
    <tableColumn id="19" xr3:uid="{C7A30DCE-18B7-4275-95F0-9247D80ABC45}" name="Comuna2" dataDxfId="168"/>
    <tableColumn id="17" xr3:uid="{F05ECB2D-7CE0-44FF-A7AA-95578C99C3CE}" name="Nombre Comuna" dataDxfId="167"/>
    <tableColumn id="2" xr3:uid="{4A10DF2D-3A9F-4E13-84C7-B4F0B26F0D69}" name="Comisión / Comité" dataDxfId="166"/>
    <tableColumn id="3" xr3:uid="{3BC48B50-55DF-4AC4-8BDB-2D9E7A7AE9FE}" name="Nombre CCGRD" dataDxfId="165"/>
    <tableColumn id="4" xr3:uid="{90736063-81A1-4F10-9E0F-BB18859119A5}" name="Nombre y Apellidos" dataDxfId="164"/>
    <tableColumn id="5" xr3:uid="{26670DA7-2A76-499B-991C-3A602F28B1FA}" name="Cédula" dataDxfId="163"/>
    <tableColumn id="6" xr3:uid="{4244A99C-9F53-466C-8CA1-760E950A37F6}" name="Sexo" dataDxfId="162"/>
    <tableColumn id="7" xr3:uid="{4075684F-BAEA-4036-942A-C93BCB718139}" name="Fecha de Nacimiento" dataDxfId="161"/>
    <tableColumn id="8" xr3:uid="{D57032E1-A000-4672-8E76-DD010FC397C4}" name="Edad" dataDxfId="160"/>
    <tableColumn id="9" xr3:uid="{8EA36E1B-F0B8-4D08-8B00-BE80B585E1A6}" name="Tipo de Sangre" dataDxfId="159"/>
    <tableColumn id="10" xr3:uid="{C725BC66-2F2F-4E64-9FE8-CC86027CE0E3}" name="Celular" dataDxfId="158"/>
    <tableColumn id="11" xr3:uid="{E55E5A57-56BC-4E6D-8F57-4D223683F7DF}" name="Correo Electrónico" dataDxfId="157"/>
    <tableColumn id="12" xr3:uid="{F5D7F926-2150-4B2D-8DB8-88CD7CA7E6AB}" name="Barrio" dataDxfId="156"/>
    <tableColumn id="13" xr3:uid="{B6C5B48F-33BB-46E6-938D-13FD156F359B}" name="Ocupación" dataDxfId="155"/>
    <tableColumn id="14" xr3:uid="{176D1BC9-DD8D-4E2A-843E-CBD4C3FFEC79}" name="EPS" dataDxfId="154"/>
    <tableColumn id="15" xr3:uid="{2CD5EEB3-4363-4277-AA4E-7A261F2B8869}" name="Fecha de ingreso al CCGRD" dataDxfId="153"/>
    <tableColumn id="16" xr3:uid="{E849329F-6AA5-4C4B-8AFE-4E9BDF2BC56F}" name="Rol en el Comité/Comisión" dataDxfId="152"/>
    <tableColumn id="18" xr3:uid="{6A52D4E6-1371-42A4-9310-D1B39D34DE6C}" name="Estado" dataDxfId="151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75507A-8B5F-4619-BBA4-0C15CDC71F7B}" name="Tabla60" displayName="Tabla60" ref="D2:V32" totalsRowShown="0" headerRowDxfId="150" tableBorderDxfId="149">
  <autoFilter ref="D2:V32" xr:uid="{0075507A-8B5F-4619-BBA4-0C15CDC71F7B}"/>
  <tableColumns count="19">
    <tableColumn id="1" xr3:uid="{ACF59C49-7842-4D39-BEF6-500FD9E5BC6F}" name="Comuna" dataDxfId="148"/>
    <tableColumn id="2" xr3:uid="{8592BA95-93C5-4CDC-B8CF-F207C8E110B5}" name="Comuna2" dataDxfId="147"/>
    <tableColumn id="19" xr3:uid="{D67BF60A-9E84-484F-8388-A6A6552B693C}" name="Nombre Comuna" dataDxfId="146"/>
    <tableColumn id="3" xr3:uid="{1A286A4F-C426-4AAE-9F3D-A1A6AD537292}" name="Comisión / Comité" dataDxfId="145"/>
    <tableColumn id="4" xr3:uid="{9C9A6B18-F1FA-48B8-9A50-DB6442080298}" name="Nombre CCGRD" dataDxfId="144"/>
    <tableColumn id="5" xr3:uid="{AF2300E3-FE9A-46FA-A8FE-E7C80BEE8B47}" name="Nombre y Apellidos" dataDxfId="143"/>
    <tableColumn id="6" xr3:uid="{CEE8D1D2-1736-4473-9180-FA55009AD18A}" name="Cédula" dataDxfId="142"/>
    <tableColumn id="7" xr3:uid="{19004DD7-C260-406E-A571-DB1CBD7227F6}" name="Sexo" dataDxfId="141"/>
    <tableColumn id="8" xr3:uid="{E2E987AD-C22F-484A-96EF-E7A64501C56F}" name="Fecha de Nacimiento" dataDxfId="140"/>
    <tableColumn id="9" xr3:uid="{6CBBA6E3-C347-4F38-BAF2-1914BD7E1329}" name="Edad" dataDxfId="139"/>
    <tableColumn id="10" xr3:uid="{22E33B14-2984-4E7C-99F4-CFE6C8F3B542}" name="Tipo de Sangre" dataDxfId="138"/>
    <tableColumn id="11" xr3:uid="{78539F78-7F3E-47E6-8EF7-1B7B37A99BAD}" name="Celular" dataDxfId="137"/>
    <tableColumn id="12" xr3:uid="{35762387-038D-4E4D-93B5-2881CDB54AE3}" name="Correo Electrónico" dataDxfId="136"/>
    <tableColumn id="13" xr3:uid="{D159ED08-C617-4A4F-BABA-74715CFE0B3B}" name="Barrio" dataDxfId="135"/>
    <tableColumn id="14" xr3:uid="{EBEEB91D-3C0C-4DB0-958A-49654D0E1C1C}" name="Ocupación" dataDxfId="134"/>
    <tableColumn id="15" xr3:uid="{8648407B-67D1-4846-8CB8-57D6A0FF5651}" name="EPS" dataDxfId="133"/>
    <tableColumn id="16" xr3:uid="{C06F37F6-9E59-4860-9EEE-E3930111DD0F}" name="Fecha de ingreso al CCGRD" dataDxfId="132"/>
    <tableColumn id="17" xr3:uid="{61DCB35E-10F9-4768-B122-2979EFD6703A}" name="Rol en el Comité/Comisión" dataDxfId="131"/>
    <tableColumn id="18" xr3:uid="{AB7DDAC3-7ADF-484E-A6FF-D1C1FB6A6486}" name="Estado" dataDxfId="130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F30959-0E3D-4FF2-854C-0DC48A8949D3}" name="Tabla70" displayName="Tabla70" ref="D2:V40" totalsRowShown="0" headerRowDxfId="129" dataDxfId="128" tableBorderDxfId="127">
  <autoFilter ref="D2:V40" xr:uid="{C6F30959-0E3D-4FF2-854C-0DC48A8949D3}"/>
  <tableColumns count="19">
    <tableColumn id="1" xr3:uid="{60F41E67-1B5B-46A7-8502-7C3E54C63F23}" name="Comuna" dataDxfId="126"/>
    <tableColumn id="2" xr3:uid="{B4649211-B3A3-4D9D-AFE6-3932A8211960}" name="Comuna2" dataDxfId="125"/>
    <tableColumn id="3" xr3:uid="{C7B341EC-EC5F-44E0-8BA3-208845F63A42}" name="Nombre Comuna" dataDxfId="124"/>
    <tableColumn id="4" xr3:uid="{D21599DA-74DA-44CA-B89A-CB5C89160857}" name="Comisión / Comité" dataDxfId="123"/>
    <tableColumn id="5" xr3:uid="{C5E95E8A-892A-47DB-BF20-F3450543F493}" name="Nombre CCGRD" dataDxfId="122"/>
    <tableColumn id="6" xr3:uid="{8917908F-7AC3-4EBA-9D20-48FBD8AA0B5E}" name="Nombre y Apellidos" dataDxfId="121"/>
    <tableColumn id="7" xr3:uid="{F9C9202E-F118-4120-A1A6-58A5D3B79141}" name="Cédula" dataDxfId="120"/>
    <tableColumn id="8" xr3:uid="{5D9604ED-BD2F-4AFA-9D68-CA599B82DE70}" name="Sexo" dataDxfId="119"/>
    <tableColumn id="9" xr3:uid="{C3E31B1E-AF9B-4DFA-A0E2-58B5024814F1}" name="Fecha de Nacimiento" dataDxfId="118"/>
    <tableColumn id="10" xr3:uid="{2507305E-368A-4895-B5C0-C55F27D63AF1}" name="Edad" dataDxfId="117"/>
    <tableColumn id="11" xr3:uid="{2D1A7813-3AB3-4F11-B518-C75D837B86B9}" name="Tipo de Sangre" dataDxfId="116"/>
    <tableColumn id="12" xr3:uid="{8AD31C53-6E62-412C-B5CA-89ADA20B6F93}" name="Celular" dataDxfId="115"/>
    <tableColumn id="13" xr3:uid="{1B25E43D-E3DC-4C2E-BEB4-BCDD294636BF}" name="Correo Electrónico" dataDxfId="114"/>
    <tableColumn id="14" xr3:uid="{C267D573-76D1-4E5E-A5C4-11559A5943F8}" name="Barrio" dataDxfId="113"/>
    <tableColumn id="15" xr3:uid="{7DE2F155-8AED-4F2D-A5DE-15187E885EFC}" name="Ocupación" dataDxfId="112"/>
    <tableColumn id="16" xr3:uid="{6EE16147-0AEC-4711-985B-BF9EB301E6E0}" name="EPS" dataDxfId="111"/>
    <tableColumn id="17" xr3:uid="{0BA2A06B-E41D-43D8-8D6D-A3D0954B09AB}" name="Fecha de ingreso al CCGRD" dataDxfId="110"/>
    <tableColumn id="18" xr3:uid="{A4FAB2CE-5F19-409A-8839-AE69CB642994}" name="Rol en el Comité/Comisión" dataDxfId="109"/>
    <tableColumn id="19" xr3:uid="{6214FF8D-084D-4392-8B09-E8F43ACE6C85}" name="Estado" dataDxfId="108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2FE8547-8EF8-4726-A02F-6BAB93295AC4}" name="Tabla80" displayName="Tabla80" ref="D2:V96" totalsRowShown="0" headerRowDxfId="107" tableBorderDxfId="106">
  <autoFilter ref="D2:V96" xr:uid="{72FE8547-8EF8-4726-A02F-6BAB93295AC4}"/>
  <tableColumns count="19">
    <tableColumn id="1" xr3:uid="{3FEFFCA4-F1C0-4A40-89AD-830218DE0D10}" name="Comuna" dataDxfId="105"/>
    <tableColumn id="2" xr3:uid="{7941D993-E8EF-478F-9E0C-AE39E2060B05}" name="Comuna2" dataDxfId="104"/>
    <tableColumn id="3" xr3:uid="{F3141048-1566-4666-B7B8-D6C2BFC7EF4E}" name="Nombre Comuna" dataDxfId="103"/>
    <tableColumn id="4" xr3:uid="{1DFFEF3F-E166-4D7C-91B1-100C49E649A6}" name="Comisión / Comité" dataDxfId="102"/>
    <tableColumn id="5" xr3:uid="{7A588AA4-5D31-495A-AE55-51399FD07DC2}" name="Nombre CCGRD" dataDxfId="101"/>
    <tableColumn id="6" xr3:uid="{87338EAE-848D-4434-A949-04D4E895ED4B}" name="Nombre y Apellidos" dataDxfId="100"/>
    <tableColumn id="7" xr3:uid="{C83AB683-C7A4-487A-AFC7-685061F9894A}" name="Cédula" dataDxfId="99"/>
    <tableColumn id="8" xr3:uid="{EBDC3BFA-1851-4F3A-B0FF-22CB6F7FA0CA}" name="Sexo" dataDxfId="98"/>
    <tableColumn id="9" xr3:uid="{5AB6A707-3D9D-41E7-9EFB-F944A5C92546}" name="Fecha de Nacimiento" dataDxfId="97"/>
    <tableColumn id="10" xr3:uid="{19B77BC0-43D6-4860-BC2A-36822E59DF89}" name="Edad" dataDxfId="96"/>
    <tableColumn id="11" xr3:uid="{FFD25B49-35A3-410A-B039-9369E5B2A098}" name="Tipo de Sangre" dataDxfId="95"/>
    <tableColumn id="12" xr3:uid="{E4A4C9AA-A18A-4DB6-9887-FCAC0F4B0DF5}" name="Celular" dataDxfId="94"/>
    <tableColumn id="13" xr3:uid="{E531D500-ABE1-4CAA-ACA1-0589A2772B49}" name="Correo Electrónico" dataDxfId="93"/>
    <tableColumn id="14" xr3:uid="{32DDC0CF-84F8-4A67-A887-C5020ED54F2B}" name="Barrio" dataDxfId="92"/>
    <tableColumn id="15" xr3:uid="{382A154E-992D-496E-8B84-0BE83B4A20C8}" name="Ocupación" dataDxfId="91"/>
    <tableColumn id="16" xr3:uid="{3019A2A7-9950-4621-A592-488E29203B06}" name="EPS" dataDxfId="90"/>
    <tableColumn id="17" xr3:uid="{1FF1ACF5-4308-48D5-A0D6-490B6F4F09C9}" name="Fecha de ingreso al CCGRD" dataDxfId="89"/>
    <tableColumn id="18" xr3:uid="{21E2E20B-9F62-425E-AD99-5619CCDBDC79}" name="Rol en el Comité/Comisión" dataDxfId="88"/>
    <tableColumn id="19" xr3:uid="{9226843F-2258-4877-A2DF-8EB5F9C56D41}" name="Estado" dataDxfId="87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6FE0F3A-6CB1-4FE5-8064-0717455E451C}" name="Tabla90" displayName="Tabla90" ref="D2:V68" totalsRowShown="0" headerRowDxfId="86" tableBorderDxfId="85">
  <autoFilter ref="D2:V68" xr:uid="{F6FE0F3A-6CB1-4FE5-8064-0717455E451C}"/>
  <tableColumns count="19">
    <tableColumn id="1" xr3:uid="{C7E08145-BC7F-46FA-883B-E21351DE8668}" name="Comuna" dataDxfId="84"/>
    <tableColumn id="2" xr3:uid="{9534D89D-DEA6-4B4A-A3A0-8E9921E50B4E}" name="Comuna2" dataDxfId="83"/>
    <tableColumn id="3" xr3:uid="{73818BC5-A67E-4107-9BB7-8BAF07C8B85A}" name="Nombre Comuna" dataDxfId="82"/>
    <tableColumn id="4" xr3:uid="{D79AB510-1698-4048-A26C-3C971ED7C9E1}" name="Comisión / Comité" dataDxfId="81"/>
    <tableColumn id="5" xr3:uid="{8004B448-3915-48FD-9EB5-4988FD4D84C0}" name="Nombre CCGRD" dataDxfId="80"/>
    <tableColumn id="6" xr3:uid="{CA6DA74F-9B5D-439D-84BC-BA3B7FD7224C}" name="Nombre y Apellidos" dataDxfId="79"/>
    <tableColumn id="7" xr3:uid="{AF4704FB-7120-469B-AA0F-D4977DCC6E1F}" name="Cédula" dataDxfId="78"/>
    <tableColumn id="8" xr3:uid="{56A9251A-43A3-4C6B-9595-69958D130EA8}" name="Sexo" dataDxfId="77"/>
    <tableColumn id="9" xr3:uid="{4EC7722E-9000-450C-91B2-5B670F5FEFA0}" name="Fecha de Nacimiento" dataDxfId="76"/>
    <tableColumn id="10" xr3:uid="{A2AD1A29-474A-457D-82A6-CBA53E6EE83E}" name="Edad" dataDxfId="75">
      <calculatedColumnFormula>DATEDIF(L3,TODAY(),"Y")</calculatedColumnFormula>
    </tableColumn>
    <tableColumn id="11" xr3:uid="{D9B3677C-CA2D-42CA-A631-C4E09098A3C3}" name="Tipo de Sangre" dataDxfId="74"/>
    <tableColumn id="12" xr3:uid="{F7DAC5F8-258F-4668-B03B-2007877C2B3A}" name="Celular" dataDxfId="73"/>
    <tableColumn id="13" xr3:uid="{037DB56F-8390-436F-A0B2-80C80376F638}" name="Correo Electrónico" dataDxfId="72"/>
    <tableColumn id="14" xr3:uid="{3E95759B-9DF6-4F7D-A1FC-5B138B49FA3A}" name="Barrio" dataDxfId="71"/>
    <tableColumn id="15" xr3:uid="{A9E55A7B-8B01-46E4-A04C-6735DD3C5128}" name="Ocupación" dataDxfId="70"/>
    <tableColumn id="16" xr3:uid="{D791F875-37BB-479E-98DB-3C2825DE3C87}" name="EPS" dataDxfId="69"/>
    <tableColumn id="17" xr3:uid="{2CBCD6AE-EEAF-40F8-92D0-9251F4B69C0F}" name="Fecha de ingreso al CCGRD" dataDxfId="68"/>
    <tableColumn id="18" xr3:uid="{9B22CC91-81E4-4729-BAF3-CE192951E26A}" name="Rol en el Comité/Comisión" dataDxfId="67"/>
    <tableColumn id="19" xr3:uid="{466BE4DE-3CFE-49C6-B094-FA4BABB08003}" name="Estado" dataDxfId="6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olucionesindustrialescc@gmail.com" TargetMode="External"/><Relationship Id="rId13" Type="http://schemas.openxmlformats.org/officeDocument/2006/relationships/hyperlink" Target="mailto:jacgolondrinasc8@gmail.com" TargetMode="External"/><Relationship Id="rId18" Type="http://schemas.openxmlformats.org/officeDocument/2006/relationships/hyperlink" Target="mailto:marce567@hot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sanjoselacima2@gmail.com" TargetMode="External"/><Relationship Id="rId21" Type="http://schemas.openxmlformats.org/officeDocument/2006/relationships/hyperlink" Target="mailto:noraalvarez1977@gmail.com" TargetMode="External"/><Relationship Id="rId7" Type="http://schemas.openxmlformats.org/officeDocument/2006/relationships/hyperlink" Target="mailto:helymacias69@gimail.com" TargetMode="External"/><Relationship Id="rId12" Type="http://schemas.openxmlformats.org/officeDocument/2006/relationships/hyperlink" Target="mailto:crisrisard87@gmail.com" TargetMode="External"/><Relationship Id="rId17" Type="http://schemas.openxmlformats.org/officeDocument/2006/relationships/hyperlink" Target="mailto:lucilav730@gmail.com" TargetMode="External"/><Relationship Id="rId25" Type="http://schemas.openxmlformats.org/officeDocument/2006/relationships/hyperlink" Target="mailto:guerrablandondavid@gmail.com" TargetMode="External"/><Relationship Id="rId2" Type="http://schemas.openxmlformats.org/officeDocument/2006/relationships/hyperlink" Target="mailto:manuelitorincon18@gmail.com" TargetMode="External"/><Relationship Id="rId16" Type="http://schemas.openxmlformats.org/officeDocument/2006/relationships/hyperlink" Target="mailto:myaneth991@gmail.com" TargetMode="External"/><Relationship Id="rId20" Type="http://schemas.openxmlformats.org/officeDocument/2006/relationships/hyperlink" Target="mailto:juliansucerquia194@gmail.com" TargetMode="External"/><Relationship Id="rId1" Type="http://schemas.openxmlformats.org/officeDocument/2006/relationships/hyperlink" Target="mailto:luzdycar@gmail.com" TargetMode="External"/><Relationship Id="rId6" Type="http://schemas.openxmlformats.org/officeDocument/2006/relationships/hyperlink" Target="mailto:jelenbf@hotmail.com" TargetMode="External"/><Relationship Id="rId11" Type="http://schemas.openxmlformats.org/officeDocument/2006/relationships/hyperlink" Target="mailto:Edwinalexander0613@gmail.com" TargetMode="External"/><Relationship Id="rId24" Type="http://schemas.openxmlformats.org/officeDocument/2006/relationships/hyperlink" Target="mailto:robinalexgom@yahoo.es" TargetMode="External"/><Relationship Id="rId5" Type="http://schemas.openxmlformats.org/officeDocument/2006/relationships/hyperlink" Target="mailto:xiomarahernandezceballos@gmail.com" TargetMode="External"/><Relationship Id="rId15" Type="http://schemas.openxmlformats.org/officeDocument/2006/relationships/hyperlink" Target="mailto:mo.an15@hotmail.com" TargetMode="External"/><Relationship Id="rId23" Type="http://schemas.openxmlformats.org/officeDocument/2006/relationships/hyperlink" Target="mailto:velezgmonsalve@hotmail.com" TargetMode="External"/><Relationship Id="rId10" Type="http://schemas.openxmlformats.org/officeDocument/2006/relationships/hyperlink" Target="mailto:danielbeoya1903@gmail.com" TargetMode="External"/><Relationship Id="rId19" Type="http://schemas.openxmlformats.org/officeDocument/2006/relationships/hyperlink" Target="mailto:lau.cel98@gmail.com" TargetMode="External"/><Relationship Id="rId4" Type="http://schemas.openxmlformats.org/officeDocument/2006/relationships/hyperlink" Target="mailto:yanethcaro272@gmail.com" TargetMode="External"/><Relationship Id="rId9" Type="http://schemas.openxmlformats.org/officeDocument/2006/relationships/hyperlink" Target="mailto:armandomunoz639@gmail.com" TargetMode="External"/><Relationship Id="rId14" Type="http://schemas.openxmlformats.org/officeDocument/2006/relationships/hyperlink" Target="mailto:jfernandopenagos65@gmail.com" TargetMode="External"/><Relationship Id="rId22" Type="http://schemas.openxmlformats.org/officeDocument/2006/relationships/hyperlink" Target="mailto:bernabelopezsierra1956@gmail.com" TargetMode="External"/><Relationship Id="rId27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zelmabuena@outlook.es" TargetMode="External"/><Relationship Id="rId13" Type="http://schemas.openxmlformats.org/officeDocument/2006/relationships/hyperlink" Target="mailto:andrevanegas781@gmail.com" TargetMode="External"/><Relationship Id="rId18" Type="http://schemas.openxmlformats.org/officeDocument/2006/relationships/hyperlink" Target="mailto:sebatianbenjumea@gmail.com" TargetMode="External"/><Relationship Id="rId3" Type="http://schemas.openxmlformats.org/officeDocument/2006/relationships/hyperlink" Target="mailto:carolinamoreno101503@gmail.com" TargetMode="External"/><Relationship Id="rId7" Type="http://schemas.openxmlformats.org/officeDocument/2006/relationships/hyperlink" Target="mailto:andrsleonvallejo@gmail.com" TargetMode="External"/><Relationship Id="rId12" Type="http://schemas.openxmlformats.org/officeDocument/2006/relationships/hyperlink" Target="mailto:papeleriaelcubo98@gmail.com" TargetMode="External"/><Relationship Id="rId17" Type="http://schemas.openxmlformats.org/officeDocument/2006/relationships/hyperlink" Target="mailto:melannygiraldo2810@gmil.com" TargetMode="External"/><Relationship Id="rId2" Type="http://schemas.openxmlformats.org/officeDocument/2006/relationships/hyperlink" Target="mailto:isasamiguel898@gmail.com" TargetMode="External"/><Relationship Id="rId16" Type="http://schemas.openxmlformats.org/officeDocument/2006/relationships/hyperlink" Target="mailto:juanda230811@gmail.com" TargetMode="External"/><Relationship Id="rId1" Type="http://schemas.openxmlformats.org/officeDocument/2006/relationships/hyperlink" Target="mailto:luzdycar@gmail.com" TargetMode="External"/><Relationship Id="rId6" Type="http://schemas.openxmlformats.org/officeDocument/2006/relationships/hyperlink" Target="mailto:lizethlondonotorres@gmail.com" TargetMode="External"/><Relationship Id="rId11" Type="http://schemas.openxmlformats.org/officeDocument/2006/relationships/hyperlink" Target="mailto:alvarovillegasg@gmail.com" TargetMode="External"/><Relationship Id="rId5" Type="http://schemas.openxmlformats.org/officeDocument/2006/relationships/hyperlink" Target="mailto:castanedaalex908@gmail.com" TargetMode="External"/><Relationship Id="rId15" Type="http://schemas.openxmlformats.org/officeDocument/2006/relationships/hyperlink" Target="mailto:luisam102309@gmail.com" TargetMode="External"/><Relationship Id="rId10" Type="http://schemas.openxmlformats.org/officeDocument/2006/relationships/hyperlink" Target="mailto:sariscarvajala@gmail.com" TargetMode="External"/><Relationship Id="rId19" Type="http://schemas.openxmlformats.org/officeDocument/2006/relationships/table" Target="../tables/table2.xml"/><Relationship Id="rId4" Type="http://schemas.openxmlformats.org/officeDocument/2006/relationships/hyperlink" Target="mailto:yeisonvelez@gmai.com" TargetMode="External"/><Relationship Id="rId9" Type="http://schemas.openxmlformats.org/officeDocument/2006/relationships/hyperlink" Target="mailto:saralopezgonzalez9@gmail.com" TargetMode="External"/><Relationship Id="rId14" Type="http://schemas.openxmlformats.org/officeDocument/2006/relationships/hyperlink" Target="mailto:osorioquinteromariacamila10@gmai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ntiagobeltrancaro273@gmail.com" TargetMode="External"/><Relationship Id="rId13" Type="http://schemas.openxmlformats.org/officeDocument/2006/relationships/hyperlink" Target="mailto:giaso19sotorivera@gmail.com" TargetMode="External"/><Relationship Id="rId3" Type="http://schemas.openxmlformats.org/officeDocument/2006/relationships/hyperlink" Target="mailto:angelamarti0425@gmail.com" TargetMode="External"/><Relationship Id="rId7" Type="http://schemas.openxmlformats.org/officeDocument/2006/relationships/hyperlink" Target="mailto:juanestebanmarincarmona9@gmail.com" TargetMode="External"/><Relationship Id="rId12" Type="http://schemas.openxmlformats.org/officeDocument/2006/relationships/hyperlink" Target="mailto:jackelinelondonoo@hotmail.com" TargetMode="External"/><Relationship Id="rId17" Type="http://schemas.openxmlformats.org/officeDocument/2006/relationships/table" Target="../tables/table3.xml"/><Relationship Id="rId2" Type="http://schemas.openxmlformats.org/officeDocument/2006/relationships/hyperlink" Target="mailto:manuelitorincon18@gmail.com" TargetMode="External"/><Relationship Id="rId16" Type="http://schemas.openxmlformats.org/officeDocument/2006/relationships/hyperlink" Target="mailto:jorgesuescun55@gmail.com" TargetMode="External"/><Relationship Id="rId1" Type="http://schemas.openxmlformats.org/officeDocument/2006/relationships/hyperlink" Target="mailto:Rubenarenas.71@gmail.com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mailto:isa19952014@outlook.com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mailto:leisaarango@gmail.com" TargetMode="External"/><Relationship Id="rId10" Type="http://schemas.openxmlformats.org/officeDocument/2006/relationships/hyperlink" Target="mailto:Dulcehenao447@gmail.com" TargetMode="External"/><Relationship Id="rId4" Type="http://schemas.openxmlformats.org/officeDocument/2006/relationships/hyperlink" Target="mailto:luzmery-sanchez@hotmail.com" TargetMode="External"/><Relationship Id="rId9" Type="http://schemas.openxmlformats.org/officeDocument/2006/relationships/hyperlink" Target="mailto:marcofidel04@homail.com" TargetMode="External"/><Relationship Id="rId14" Type="http://schemas.openxmlformats.org/officeDocument/2006/relationships/hyperlink" Target="mailto:sefa22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yanethcaro272@gmail.com" TargetMode="External"/><Relationship Id="rId7" Type="http://schemas.openxmlformats.org/officeDocument/2006/relationships/table" Target="../tables/table4.xml"/><Relationship Id="rId2" Type="http://schemas.openxmlformats.org/officeDocument/2006/relationships/hyperlink" Target="mailto:xiomarahernandezceballos@gmail.com" TargetMode="External"/><Relationship Id="rId1" Type="http://schemas.openxmlformats.org/officeDocument/2006/relationships/hyperlink" Target="mailto:sanjoselacima2@gmail.com" TargetMode="External"/><Relationship Id="rId6" Type="http://schemas.openxmlformats.org/officeDocument/2006/relationships/hyperlink" Target="mailto:sandramilenasierra830@gmail.com" TargetMode="External"/><Relationship Id="rId5" Type="http://schemas.openxmlformats.org/officeDocument/2006/relationships/hyperlink" Target="mailto:andrea.rodasmonsalve@gmail.com" TargetMode="External"/><Relationship Id="rId4" Type="http://schemas.openxmlformats.org/officeDocument/2006/relationships/hyperlink" Target="mailto:chaconsantiago505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nana.cortesr@gmail.com" TargetMode="External"/><Relationship Id="rId13" Type="http://schemas.openxmlformats.org/officeDocument/2006/relationships/hyperlink" Target="mailto:helymacias69@gimail.com" TargetMode="External"/><Relationship Id="rId18" Type="http://schemas.openxmlformats.org/officeDocument/2006/relationships/table" Target="../tables/table5.xml"/><Relationship Id="rId3" Type="http://schemas.openxmlformats.org/officeDocument/2006/relationships/hyperlink" Target="mailto:gomezober4@Gmail.con" TargetMode="External"/><Relationship Id="rId7" Type="http://schemas.openxmlformats.org/officeDocument/2006/relationships/hyperlink" Target="mailto:germanram150@gmail.com" TargetMode="External"/><Relationship Id="rId12" Type="http://schemas.openxmlformats.org/officeDocument/2006/relationships/hyperlink" Target="mailto:arelisgarnier1963@gmail.con" TargetMode="External"/><Relationship Id="rId17" Type="http://schemas.openxmlformats.org/officeDocument/2006/relationships/hyperlink" Target="mailto:edilmacano2015@gmail.com" TargetMode="External"/><Relationship Id="rId2" Type="http://schemas.openxmlformats.org/officeDocument/2006/relationships/hyperlink" Target="mailto:camilogallego0820@gmail.com" TargetMode="External"/><Relationship Id="rId16" Type="http://schemas.openxmlformats.org/officeDocument/2006/relationships/hyperlink" Target="mailto:trilliblack1957@gmail.com" TargetMode="External"/><Relationship Id="rId1" Type="http://schemas.openxmlformats.org/officeDocument/2006/relationships/hyperlink" Target="mailto:njtv.3422@hotmail.com" TargetMode="External"/><Relationship Id="rId6" Type="http://schemas.openxmlformats.org/officeDocument/2006/relationships/hyperlink" Target="mailto:cristian52-52@hotmail.com" TargetMode="External"/><Relationship Id="rId11" Type="http://schemas.openxmlformats.org/officeDocument/2006/relationships/hyperlink" Target="mailto:jelenbf@hotmail.com" TargetMode="External"/><Relationship Id="rId5" Type="http://schemas.openxmlformats.org/officeDocument/2006/relationships/hyperlink" Target="mailto:dianapalvarez1967@gmail.com" TargetMode="External"/><Relationship Id="rId15" Type="http://schemas.openxmlformats.org/officeDocument/2006/relationships/hyperlink" Target="mailto:vasquezosoriojaime@gmail.com" TargetMode="External"/><Relationship Id="rId10" Type="http://schemas.openxmlformats.org/officeDocument/2006/relationships/hyperlink" Target="mailto:maribel_crugi@hotmail.com" TargetMode="External"/><Relationship Id="rId4" Type="http://schemas.openxmlformats.org/officeDocument/2006/relationships/hyperlink" Target="mailto:lucypiedrahitasuarez@hotmail.com" TargetMode="External"/><Relationship Id="rId9" Type="http://schemas.openxmlformats.org/officeDocument/2006/relationships/hyperlink" Target="mailto:somar148@hotmail.com" TargetMode="External"/><Relationship Id="rId14" Type="http://schemas.openxmlformats.org/officeDocument/2006/relationships/hyperlink" Target="mailto:happydolphinlover@hot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hinchexz@gmail.com" TargetMode="External"/><Relationship Id="rId13" Type="http://schemas.openxmlformats.org/officeDocument/2006/relationships/hyperlink" Target="mailto:danielbeoya1903@gmail.com" TargetMode="External"/><Relationship Id="rId18" Type="http://schemas.openxmlformats.org/officeDocument/2006/relationships/table" Target="../tables/table8.xml"/><Relationship Id="rId3" Type="http://schemas.openxmlformats.org/officeDocument/2006/relationships/hyperlink" Target="mailto:sernazapata041@gmail.com" TargetMode="External"/><Relationship Id="rId7" Type="http://schemas.openxmlformats.org/officeDocument/2006/relationships/hyperlink" Target="mailto:marulanda30@gmail.com" TargetMode="External"/><Relationship Id="rId12" Type="http://schemas.openxmlformats.org/officeDocument/2006/relationships/hyperlink" Target="mailto:jorlopezzuarez@gmail.com" TargetMode="External"/><Relationship Id="rId17" Type="http://schemas.openxmlformats.org/officeDocument/2006/relationships/hyperlink" Target="mailto:katherine@hotmail.com" TargetMode="External"/><Relationship Id="rId2" Type="http://schemas.openxmlformats.org/officeDocument/2006/relationships/hyperlink" Target="mailto:rodasoscarlxmk@gmail.com" TargetMode="External"/><Relationship Id="rId16" Type="http://schemas.openxmlformats.org/officeDocument/2006/relationships/hyperlink" Target="mailto:Edwinalexander0613@gmail.com" TargetMode="External"/><Relationship Id="rId1" Type="http://schemas.openxmlformats.org/officeDocument/2006/relationships/hyperlink" Target="mailto:josemeneses@gmail.com" TargetMode="External"/><Relationship Id="rId6" Type="http://schemas.openxmlformats.org/officeDocument/2006/relationships/hyperlink" Target="mailto:leovanegas1979@gmail.com" TargetMode="External"/><Relationship Id="rId11" Type="http://schemas.openxmlformats.org/officeDocument/2006/relationships/hyperlink" Target="mailto:estrellasdelmilenio@hotmail.com" TargetMode="External"/><Relationship Id="rId5" Type="http://schemas.openxmlformats.org/officeDocument/2006/relationships/hyperlink" Target="mailto:Jorgearango1966@homail.com" TargetMode="External"/><Relationship Id="rId15" Type="http://schemas.openxmlformats.org/officeDocument/2006/relationships/hyperlink" Target="mailto:ERNEYCHAVARRIA.MGVC@GMAIL.COM" TargetMode="External"/><Relationship Id="rId10" Type="http://schemas.openxmlformats.org/officeDocument/2006/relationships/hyperlink" Target="mailto:artevivact@gmail.com" TargetMode="External"/><Relationship Id="rId4" Type="http://schemas.openxmlformats.org/officeDocument/2006/relationships/hyperlink" Target="mailto:solucionesindustrialescc@gmail.com" TargetMode="External"/><Relationship Id="rId9" Type="http://schemas.openxmlformats.org/officeDocument/2006/relationships/hyperlink" Target="mailto:armandomunoz639@gmail.com" TargetMode="External"/><Relationship Id="rId14" Type="http://schemas.openxmlformats.org/officeDocument/2006/relationships/hyperlink" Target="mailto:FRAK.17.MV.@HOTMA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incapie.contacto@gmail.com" TargetMode="External"/><Relationship Id="rId13" Type="http://schemas.openxmlformats.org/officeDocument/2006/relationships/hyperlink" Target="mailto:consuelo22000@gmail.com" TargetMode="External"/><Relationship Id="rId18" Type="http://schemas.openxmlformats.org/officeDocument/2006/relationships/hyperlink" Target="mailto:drvr702910@gmail.com" TargetMode="External"/><Relationship Id="rId3" Type="http://schemas.openxmlformats.org/officeDocument/2006/relationships/hyperlink" Target="mailto:jesusrestrepo0726@gmail.com" TargetMode="External"/><Relationship Id="rId7" Type="http://schemas.openxmlformats.org/officeDocument/2006/relationships/hyperlink" Target="mailto:lilimontoya198@hotmail.com" TargetMode="External"/><Relationship Id="rId12" Type="http://schemas.openxmlformats.org/officeDocument/2006/relationships/hyperlink" Target="mailto:SilviaElenaHiguita64@gmail.com" TargetMode="External"/><Relationship Id="rId17" Type="http://schemas.openxmlformats.org/officeDocument/2006/relationships/hyperlink" Target="mailto:crisrisard87@gmail.com" TargetMode="External"/><Relationship Id="rId2" Type="http://schemas.openxmlformats.org/officeDocument/2006/relationships/hyperlink" Target="mailto:pinolopezjuan2020@gmail.com" TargetMode="External"/><Relationship Id="rId16" Type="http://schemas.openxmlformats.org/officeDocument/2006/relationships/hyperlink" Target="mailto:crisrisard87@gmail.com" TargetMode="External"/><Relationship Id="rId20" Type="http://schemas.openxmlformats.org/officeDocument/2006/relationships/table" Target="../tables/table9.xml"/><Relationship Id="rId1" Type="http://schemas.openxmlformats.org/officeDocument/2006/relationships/hyperlink" Target="mailto:jacgolondrinasc8@gmail.com" TargetMode="External"/><Relationship Id="rId6" Type="http://schemas.openxmlformats.org/officeDocument/2006/relationships/hyperlink" Target="mailto:nadiramirez@gmail.com" TargetMode="External"/><Relationship Id="rId11" Type="http://schemas.openxmlformats.org/officeDocument/2006/relationships/hyperlink" Target="mailto:Yudiesmeralda@gmail.com" TargetMode="External"/><Relationship Id="rId5" Type="http://schemas.openxmlformats.org/officeDocument/2006/relationships/hyperlink" Target="mailto:maricellyvillegas8@gmail.com" TargetMode="External"/><Relationship Id="rId15" Type="http://schemas.openxmlformats.org/officeDocument/2006/relationships/hyperlink" Target="mailto:yina97568@gmail.com" TargetMode="External"/><Relationship Id="rId10" Type="http://schemas.openxmlformats.org/officeDocument/2006/relationships/hyperlink" Target="mailto:jac8sllasestancias@gmail.co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juancha23@hotmail.com" TargetMode="External"/><Relationship Id="rId9" Type="http://schemas.openxmlformats.org/officeDocument/2006/relationships/hyperlink" Target="mailto:sandrajaramio0893@gmail.com" TargetMode="External"/><Relationship Id="rId14" Type="http://schemas.openxmlformats.org/officeDocument/2006/relationships/hyperlink" Target="mailto:luisacarolina234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valeriazapata925@gmail.com" TargetMode="External"/><Relationship Id="rId2" Type="http://schemas.openxmlformats.org/officeDocument/2006/relationships/hyperlink" Target="mailto:juandavidvelezvalencia1@gmail.com" TargetMode="External"/><Relationship Id="rId1" Type="http://schemas.openxmlformats.org/officeDocument/2006/relationships/hyperlink" Target="mailto:sernaamparo80@gmail.com" TargetMode="External"/><Relationship Id="rId5" Type="http://schemas.openxmlformats.org/officeDocument/2006/relationships/table" Target="../tables/table10.xml"/><Relationship Id="rId4" Type="http://schemas.openxmlformats.org/officeDocument/2006/relationships/hyperlink" Target="mailto:johnjv1953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anytas23@yahoo.es" TargetMode="External"/><Relationship Id="rId7" Type="http://schemas.openxmlformats.org/officeDocument/2006/relationships/table" Target="../tables/table16.xml"/><Relationship Id="rId2" Type="http://schemas.openxmlformats.org/officeDocument/2006/relationships/hyperlink" Target="mailto:cadavidjimeneza@gmail.com" TargetMode="External"/><Relationship Id="rId1" Type="http://schemas.openxmlformats.org/officeDocument/2006/relationships/hyperlink" Target="mailto:lj977383@gmail.com" TargetMode="External"/><Relationship Id="rId6" Type="http://schemas.openxmlformats.org/officeDocument/2006/relationships/hyperlink" Target="mailto:drdianaramirez@gmail.com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mailto:stivenalvarezmarin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sopadi07@gmail.com" TargetMode="External"/><Relationship Id="rId2" Type="http://schemas.openxmlformats.org/officeDocument/2006/relationships/hyperlink" Target="mailto:sandra-ramirez70@hotmail.com" TargetMode="External"/><Relationship Id="rId1" Type="http://schemas.openxmlformats.org/officeDocument/2006/relationships/hyperlink" Target="mailto:dianacadavid290@gmail.com" TargetMode="External"/><Relationship Id="rId5" Type="http://schemas.openxmlformats.org/officeDocument/2006/relationships/table" Target="../tables/table19.xml"/><Relationship Id="rId4" Type="http://schemas.openxmlformats.org/officeDocument/2006/relationships/hyperlink" Target="mailto:mvbarrera58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mailto:alexca99@yahoo.es" TargetMode="External"/><Relationship Id="rId18" Type="http://schemas.openxmlformats.org/officeDocument/2006/relationships/hyperlink" Target="mailto:pereawaldinaeliza@gmail.com" TargetMode="External"/><Relationship Id="rId26" Type="http://schemas.openxmlformats.org/officeDocument/2006/relationships/hyperlink" Target="mailto:lau.cel98@gmail.com" TargetMode="External"/><Relationship Id="rId39" Type="http://schemas.openxmlformats.org/officeDocument/2006/relationships/hyperlink" Target="mailto:lolacanomeneses@gmail.com" TargetMode="External"/><Relationship Id="rId21" Type="http://schemas.openxmlformats.org/officeDocument/2006/relationships/hyperlink" Target="mailto:jassnow21@yahoo.com" TargetMode="External"/><Relationship Id="rId34" Type="http://schemas.openxmlformats.org/officeDocument/2006/relationships/hyperlink" Target="mailto:juliansucerquia194@gmail.com" TargetMode="External"/><Relationship Id="rId42" Type="http://schemas.openxmlformats.org/officeDocument/2006/relationships/hyperlink" Target="mailto:endisplaza5@gmail.com" TargetMode="External"/><Relationship Id="rId47" Type="http://schemas.openxmlformats.org/officeDocument/2006/relationships/hyperlink" Target="mailto:robinalexgom@yahoo.es" TargetMode="External"/><Relationship Id="rId7" Type="http://schemas.openxmlformats.org/officeDocument/2006/relationships/hyperlink" Target="mailto:ramirezluzelena896@gmail.com" TargetMode="External"/><Relationship Id="rId2" Type="http://schemas.openxmlformats.org/officeDocument/2006/relationships/hyperlink" Target="mailto:arangoalvarezmanuelsalvador@gmail.com" TargetMode="External"/><Relationship Id="rId16" Type="http://schemas.openxmlformats.org/officeDocument/2006/relationships/hyperlink" Target="mailto:alexanderseguros2011@hotmail.com" TargetMode="External"/><Relationship Id="rId29" Type="http://schemas.openxmlformats.org/officeDocument/2006/relationships/hyperlink" Target="mailto:gabriela.munos.n07@gmail.com" TargetMode="External"/><Relationship Id="rId11" Type="http://schemas.openxmlformats.org/officeDocument/2006/relationships/hyperlink" Target="mailto:myaneth991@gmail.com" TargetMode="External"/><Relationship Id="rId24" Type="http://schemas.openxmlformats.org/officeDocument/2006/relationships/hyperlink" Target="mailto:luceroflorezgil1981@gmail.com" TargetMode="External"/><Relationship Id="rId32" Type="http://schemas.openxmlformats.org/officeDocument/2006/relationships/hyperlink" Target="mailto:sandrey-93@outlook.com" TargetMode="External"/><Relationship Id="rId37" Type="http://schemas.openxmlformats.org/officeDocument/2006/relationships/hyperlink" Target="mailto:aisare1958@gmail.com" TargetMode="External"/><Relationship Id="rId40" Type="http://schemas.openxmlformats.org/officeDocument/2006/relationships/hyperlink" Target="mailto:bernabelopezsierra1956@gmail.com" TargetMode="External"/><Relationship Id="rId45" Type="http://schemas.openxmlformats.org/officeDocument/2006/relationships/hyperlink" Target="mailto:claudia_milena1@hotmail.com" TargetMode="External"/><Relationship Id="rId5" Type="http://schemas.openxmlformats.org/officeDocument/2006/relationships/hyperlink" Target="mailto:lstellav4@gmail.com" TargetMode="External"/><Relationship Id="rId15" Type="http://schemas.openxmlformats.org/officeDocument/2006/relationships/hyperlink" Target="mailto:caminantesdelterritorio@gmail.com" TargetMode="External"/><Relationship Id="rId23" Type="http://schemas.openxmlformats.org/officeDocument/2006/relationships/hyperlink" Target="mailto:marce567@hotmail.com" TargetMode="External"/><Relationship Id="rId28" Type="http://schemas.openxmlformats.org/officeDocument/2006/relationships/hyperlink" Target="mailto:helenzapatam@gmail.com" TargetMode="External"/><Relationship Id="rId36" Type="http://schemas.openxmlformats.org/officeDocument/2006/relationships/hyperlink" Target="mailto:noraalvarez1977@gmail.com" TargetMode="External"/><Relationship Id="rId49" Type="http://schemas.openxmlformats.org/officeDocument/2006/relationships/table" Target="../tables/table21.xml"/><Relationship Id="rId10" Type="http://schemas.openxmlformats.org/officeDocument/2006/relationships/hyperlink" Target="mailto:angelamestrada141@gmail.com" TargetMode="External"/><Relationship Id="rId19" Type="http://schemas.openxmlformats.org/officeDocument/2006/relationships/hyperlink" Target="mailto:and.reo.@hotmail.com" TargetMode="External"/><Relationship Id="rId31" Type="http://schemas.openxmlformats.org/officeDocument/2006/relationships/hyperlink" Target="mailto:gloriaceci29@hotmail.com" TargetMode="External"/><Relationship Id="rId44" Type="http://schemas.openxmlformats.org/officeDocument/2006/relationships/hyperlink" Target="mailto:estefaniveles.iemjb@gmail.com" TargetMode="External"/><Relationship Id="rId4" Type="http://schemas.openxmlformats.org/officeDocument/2006/relationships/hyperlink" Target="mailto:orlandoflorez98@hotmail.com" TargetMode="External"/><Relationship Id="rId9" Type="http://schemas.openxmlformats.org/officeDocument/2006/relationships/hyperlink" Target="mailto:laliendelina@gmail.com" TargetMode="External"/><Relationship Id="rId14" Type="http://schemas.openxmlformats.org/officeDocument/2006/relationships/hyperlink" Target="mailto:marialuzrendon@hotmail.com" TargetMode="External"/><Relationship Id="rId22" Type="http://schemas.openxmlformats.org/officeDocument/2006/relationships/hyperlink" Target="mailto:nelly3463@gmail.com" TargetMode="External"/><Relationship Id="rId27" Type="http://schemas.openxmlformats.org/officeDocument/2006/relationships/hyperlink" Target="mailto:santuariodeabejas@gmail.com" TargetMode="External"/><Relationship Id="rId30" Type="http://schemas.openxmlformats.org/officeDocument/2006/relationships/hyperlink" Target="mailto:leidybm627@gmail.com" TargetMode="External"/><Relationship Id="rId35" Type="http://schemas.openxmlformats.org/officeDocument/2006/relationships/hyperlink" Target="mailto:erikanavia27@gmail.com" TargetMode="External"/><Relationship Id="rId43" Type="http://schemas.openxmlformats.org/officeDocument/2006/relationships/hyperlink" Target="mailto:dianajuliethvargas@gmail.com" TargetMode="External"/><Relationship Id="rId48" Type="http://schemas.openxmlformats.org/officeDocument/2006/relationships/hyperlink" Target="mailto:diananeuroclinica@gmail.com" TargetMode="External"/><Relationship Id="rId8" Type="http://schemas.openxmlformats.org/officeDocument/2006/relationships/hyperlink" Target="mailto:perezadriana75@hotmail.com" TargetMode="External"/><Relationship Id="rId3" Type="http://schemas.openxmlformats.org/officeDocument/2006/relationships/hyperlink" Target="mailto:flor.cris033@gmail.com" TargetMode="External"/><Relationship Id="rId12" Type="http://schemas.openxmlformats.org/officeDocument/2006/relationships/hyperlink" Target="mailto:fresiavilla60@gmail.com" TargetMode="External"/><Relationship Id="rId17" Type="http://schemas.openxmlformats.org/officeDocument/2006/relationships/hyperlink" Target="mailto:lucilav730@gmail.com" TargetMode="External"/><Relationship Id="rId25" Type="http://schemas.openxmlformats.org/officeDocument/2006/relationships/hyperlink" Target="mailto:ortegaleonardo048@gmail.com" TargetMode="External"/><Relationship Id="rId33" Type="http://schemas.openxmlformats.org/officeDocument/2006/relationships/hyperlink" Target="mailto:valeriabenjumeac@gmail.com" TargetMode="External"/><Relationship Id="rId38" Type="http://schemas.openxmlformats.org/officeDocument/2006/relationships/hyperlink" Target="mailto:dorafrancov@hotmail.com" TargetMode="External"/><Relationship Id="rId46" Type="http://schemas.openxmlformats.org/officeDocument/2006/relationships/hyperlink" Target="mailto:antonys_g@hotmail.com" TargetMode="External"/><Relationship Id="rId20" Type="http://schemas.openxmlformats.org/officeDocument/2006/relationships/hyperlink" Target="mailto:marialuztorres1962@gmail.com" TargetMode="External"/><Relationship Id="rId41" Type="http://schemas.openxmlformats.org/officeDocument/2006/relationships/hyperlink" Target="mailto:velezgmonsalve@hotmail.com" TargetMode="External"/><Relationship Id="rId1" Type="http://schemas.openxmlformats.org/officeDocument/2006/relationships/hyperlink" Target="mailto:jfernandopenagos65@gmail.com" TargetMode="External"/><Relationship Id="rId6" Type="http://schemas.openxmlformats.org/officeDocument/2006/relationships/hyperlink" Target="mailto:mo.an15@hotmail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hyperlink" Target="mailto:guerrablandondavid@gmail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santiagobeltrancaro273@gmail.com" TargetMode="External"/><Relationship Id="rId13" Type="http://schemas.openxmlformats.org/officeDocument/2006/relationships/hyperlink" Target="mailto:giaso19sotorivera@gmail.com" TargetMode="External"/><Relationship Id="rId18" Type="http://schemas.openxmlformats.org/officeDocument/2006/relationships/comments" Target="../comments1.xml"/><Relationship Id="rId3" Type="http://schemas.openxmlformats.org/officeDocument/2006/relationships/hyperlink" Target="mailto:angelamarti0425@gmail.com" TargetMode="External"/><Relationship Id="rId7" Type="http://schemas.openxmlformats.org/officeDocument/2006/relationships/hyperlink" Target="mailto:juanestebanmarincarmona9@gmail.com" TargetMode="External"/><Relationship Id="rId12" Type="http://schemas.openxmlformats.org/officeDocument/2006/relationships/hyperlink" Target="mailto:jackelinelondonoo@hotmail.com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mailto:manuelitorincon18@gmail.com" TargetMode="External"/><Relationship Id="rId16" Type="http://schemas.openxmlformats.org/officeDocument/2006/relationships/hyperlink" Target="mailto:jorgesuescun55@gmail.com" TargetMode="External"/><Relationship Id="rId1" Type="http://schemas.openxmlformats.org/officeDocument/2006/relationships/hyperlink" Target="mailto:Rubenarenas.71@gmail.com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mailto:isa19952014@outlook.com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mailto:leisaarango@gmail.com" TargetMode="External"/><Relationship Id="rId10" Type="http://schemas.openxmlformats.org/officeDocument/2006/relationships/hyperlink" Target="mailto:Dulcehenao447@gmail.com" TargetMode="External"/><Relationship Id="rId4" Type="http://schemas.openxmlformats.org/officeDocument/2006/relationships/hyperlink" Target="mailto:luzmery-sanchez@hotmail.com" TargetMode="External"/><Relationship Id="rId9" Type="http://schemas.openxmlformats.org/officeDocument/2006/relationships/hyperlink" Target="mailto:marcofidel04@homail.com" TargetMode="External"/><Relationship Id="rId14" Type="http://schemas.openxmlformats.org/officeDocument/2006/relationships/hyperlink" Target="mailto:sefa22@hotmail.com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wallyvelas@gmail.com" TargetMode="External"/><Relationship Id="rId13" Type="http://schemas.openxmlformats.org/officeDocument/2006/relationships/hyperlink" Target="mailto:echeverryosoriov@gmail.com" TargetMode="External"/><Relationship Id="rId3" Type="http://schemas.openxmlformats.org/officeDocument/2006/relationships/hyperlink" Target="mailto:yanethcaro272@gmail.com" TargetMode="External"/><Relationship Id="rId7" Type="http://schemas.openxmlformats.org/officeDocument/2006/relationships/hyperlink" Target="mailto:botero.franklin@yahoo.es" TargetMode="External"/><Relationship Id="rId12" Type="http://schemas.openxmlformats.org/officeDocument/2006/relationships/hyperlink" Target="mailto:cindy04060@gmail.com" TargetMode="External"/><Relationship Id="rId2" Type="http://schemas.openxmlformats.org/officeDocument/2006/relationships/hyperlink" Target="mailto:xiomarahernandezceballos@gmail.com" TargetMode="External"/><Relationship Id="rId1" Type="http://schemas.openxmlformats.org/officeDocument/2006/relationships/hyperlink" Target="mailto:sanjoselacima2@gmail.com" TargetMode="External"/><Relationship Id="rId6" Type="http://schemas.openxmlformats.org/officeDocument/2006/relationships/hyperlink" Target="mailto:sandramilenasierra830@gmail.com" TargetMode="External"/><Relationship Id="rId11" Type="http://schemas.openxmlformats.org/officeDocument/2006/relationships/hyperlink" Target="mailto:slena8610@gmail.com" TargetMode="External"/><Relationship Id="rId5" Type="http://schemas.openxmlformats.org/officeDocument/2006/relationships/hyperlink" Target="mailto:andrea.rodasmonsalve@gmail.com" TargetMode="External"/><Relationship Id="rId15" Type="http://schemas.openxmlformats.org/officeDocument/2006/relationships/comments" Target="../comments2.xml"/><Relationship Id="rId10" Type="http://schemas.openxmlformats.org/officeDocument/2006/relationships/hyperlink" Target="mailto:lacalleylacarrera.domic@hotmail.com" TargetMode="External"/><Relationship Id="rId4" Type="http://schemas.openxmlformats.org/officeDocument/2006/relationships/hyperlink" Target="mailto:chaconsantiago505@gmail.com" TargetMode="External"/><Relationship Id="rId9" Type="http://schemas.openxmlformats.org/officeDocument/2006/relationships/hyperlink" Target="mailto:brahian.montoya@gmail.com" TargetMode="External"/><Relationship Id="rId1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B9D3-21C8-473A-8698-006C33649CE3}">
  <dimension ref="B2:K24"/>
  <sheetViews>
    <sheetView topLeftCell="A2" zoomScale="103" workbookViewId="0">
      <selection activeCell="H5" sqref="H5"/>
    </sheetView>
  </sheetViews>
  <sheetFormatPr baseColWidth="10" defaultColWidth="11.5546875" defaultRowHeight="14.4"/>
  <cols>
    <col min="1" max="2" width="11.5546875" style="132"/>
    <col min="3" max="3" width="37.33203125" style="132" bestFit="1" customWidth="1"/>
    <col min="4" max="4" width="9.109375" style="132" bestFit="1" customWidth="1"/>
    <col min="5" max="5" width="20.6640625" style="132" bestFit="1" customWidth="1"/>
    <col min="6" max="6" width="11.6640625" style="132" bestFit="1" customWidth="1"/>
    <col min="7" max="7" width="25.109375" style="132" bestFit="1" customWidth="1"/>
    <col min="8" max="8" width="26.109375" style="132" bestFit="1" customWidth="1"/>
    <col min="9" max="9" width="17.5546875" style="132" bestFit="1" customWidth="1"/>
    <col min="10" max="16384" width="11.5546875" style="132"/>
  </cols>
  <sheetData>
    <row r="2" spans="2:11">
      <c r="B2" s="731" t="s">
        <v>1559</v>
      </c>
      <c r="C2" s="731" t="s">
        <v>1558</v>
      </c>
      <c r="D2" s="733" t="s">
        <v>1578</v>
      </c>
      <c r="E2" s="735" t="s">
        <v>1580</v>
      </c>
      <c r="F2" s="736" t="s">
        <v>1579</v>
      </c>
      <c r="G2" s="738" t="s">
        <v>1583</v>
      </c>
      <c r="H2" s="731" t="s">
        <v>1581</v>
      </c>
      <c r="I2" s="731" t="s">
        <v>1582</v>
      </c>
    </row>
    <row r="3" spans="2:11">
      <c r="B3" s="819">
        <v>1</v>
      </c>
      <c r="C3" s="731" t="s">
        <v>1560</v>
      </c>
      <c r="D3" s="734">
        <f>COUNTIF(Tabla1[Comuna],"T")</f>
        <v>1</v>
      </c>
      <c r="E3" s="136" cm="1">
        <f t="array" ref="E3">MAX(0,SUMPRODUCT((Tabla1[Comisión / Comité]="Comité")*(Tabla1[Nombre y Apellidos]&lt;&gt;"")*(Tabla1[Estado]&lt;&gt;"Inactivo")))</f>
        <v>26</v>
      </c>
      <c r="F3" s="737">
        <f>COUNTIF(Tabla1[Comuna],"S")</f>
        <v>0</v>
      </c>
      <c r="G3" s="739" cm="1">
        <f t="array" ref="G3">MAX(0, SUMPRODUCT((Tabla1[Comisión / Comité]="Comisión")*(Tabla1[Nombre y Apellidos]&lt;&gt;""))-COUNTIF(Tabla1[Estado],"Inactivo"))</f>
        <v>0</v>
      </c>
      <c r="H3" s="135">
        <f>D3+F3</f>
        <v>1</v>
      </c>
      <c r="I3" s="135">
        <f>E3+G3</f>
        <v>26</v>
      </c>
    </row>
    <row r="4" spans="2:11">
      <c r="B4" s="819">
        <v>2</v>
      </c>
      <c r="C4" s="731" t="s">
        <v>1561</v>
      </c>
      <c r="D4" s="734">
        <f>COUNTIF(Tabla2[Comuna],"T")</f>
        <v>1</v>
      </c>
      <c r="E4" s="136" cm="1">
        <f t="array" ref="E4">MAX(0,SUMPRODUCT((Tabla2[Comisión / Comité]="Comité")*(Tabla2[Nombre y Apellidos]&lt;&gt;"")*(Tabla2[Estado]&lt;&gt;"Inactivo")))</f>
        <v>18</v>
      </c>
      <c r="F4" s="737">
        <f>COUNTIF(Tabla2[Comuna],"S")</f>
        <v>13</v>
      </c>
      <c r="G4" s="739" cm="1">
        <f t="array" ref="G4">MAX(0, SUMPRODUCT((Tabla2[Comisión / Comité]="Comisión")*(Tabla2[Nombre y Apellidos]&lt;&gt;""))-COUNTIF(Tabla2[Estado],"Inactivo"))</f>
        <v>78</v>
      </c>
      <c r="H4" s="135">
        <f>D4+F4</f>
        <v>14</v>
      </c>
      <c r="I4" s="135">
        <f>E4+G4</f>
        <v>96</v>
      </c>
    </row>
    <row r="5" spans="2:11">
      <c r="B5" s="819">
        <v>3</v>
      </c>
      <c r="C5" s="731" t="s">
        <v>1562</v>
      </c>
      <c r="D5" s="734">
        <f>COUNTIF(Tabla3[Comuna],"T")</f>
        <v>1</v>
      </c>
      <c r="E5" s="136" cm="1">
        <f t="array" ref="E5">MAX(0,SUMPRODUCT((Tabla3[Comisión / Comité]="Comité")*(Tabla3[Nombre y Apellidos]&lt;&gt;"")*(Tabla3[Estado]&lt;&gt;"Inactivo")))</f>
        <v>6</v>
      </c>
      <c r="F5" s="737">
        <f>COUNTIF(Tabla3[Comuna],"S")</f>
        <v>13</v>
      </c>
      <c r="G5" s="739" cm="1">
        <f t="array" ref="G5">MAX(0, SUMPRODUCT((Tabla3[Comisión / Comité]="Comisión")*(Tabla3[Nombre y Apellidos]&lt;&gt;""))-COUNTIF(Tabla3[Estado],"Inactivo"))</f>
        <v>78</v>
      </c>
      <c r="H5" s="790">
        <f t="shared" ref="H5:H18" si="0">D5+F5</f>
        <v>14</v>
      </c>
      <c r="I5" s="135">
        <f t="shared" ref="I5:I18" si="1">E5+G5</f>
        <v>84</v>
      </c>
    </row>
    <row r="6" spans="2:11">
      <c r="B6" s="819">
        <v>4</v>
      </c>
      <c r="C6" s="731" t="s">
        <v>1563</v>
      </c>
      <c r="D6" s="734">
        <f>COUNTIF(Tabla4[Comuna],"T")</f>
        <v>0</v>
      </c>
      <c r="E6" s="136" cm="1">
        <f t="array" ref="E6">MAX(0,SUMPRODUCT((Tabla4[Comisión / Comité]="Comité")*(Tabla4[Nombre y Apellidos]&lt;&gt;"")*(Tabla4[Estado]&lt;&gt;"Inactivo")))</f>
        <v>0</v>
      </c>
      <c r="F6" s="737">
        <f>COUNTIF(Tabla4[Comuna],"S")</f>
        <v>16</v>
      </c>
      <c r="G6" s="739" cm="1">
        <f t="array" ref="G6">MAX(0, SUMPRODUCT((Tabla4[Comisión / Comité]="Comisión")*(Tabla4[Nombre y Apellidos]&lt;&gt;""))-COUNTIF(Tabla4[Estado],"Inactivo"))</f>
        <v>121</v>
      </c>
      <c r="H6" s="135">
        <f t="shared" si="0"/>
        <v>16</v>
      </c>
      <c r="I6" s="135">
        <f t="shared" si="1"/>
        <v>121</v>
      </c>
    </row>
    <row r="7" spans="2:11">
      <c r="B7" s="819">
        <v>5</v>
      </c>
      <c r="C7" s="731" t="s">
        <v>1564</v>
      </c>
      <c r="D7" s="734">
        <f>COUNTIF(Tabla5[Comuna],"T")</f>
        <v>1</v>
      </c>
      <c r="E7" s="136" cm="1">
        <f t="array" ref="E7">MAX(0,SUMPRODUCT((Tabla5[Comisión / Comité]="Comité")*(Tabla5[Nombre y Apellidos]&lt;&gt;"")*(Tabla5[Estado]&lt;&gt;"Inactivo")))</f>
        <v>9</v>
      </c>
      <c r="F7" s="737">
        <f>COUNTIF(Tabla5[Comuna],"S")</f>
        <v>0</v>
      </c>
      <c r="G7" s="739" cm="1">
        <f t="array" ref="G7">MAX(0, SUMPRODUCT((Tabla5[Comisión / Comité]="Comisión")*(Tabla5[Nombre y Apellidos]&lt;&gt;""))-COUNTIF(Tabla5[Estado],"Inactivo"))</f>
        <v>0</v>
      </c>
      <c r="H7" s="138">
        <f t="shared" si="0"/>
        <v>1</v>
      </c>
      <c r="I7" s="138">
        <f t="shared" si="1"/>
        <v>9</v>
      </c>
      <c r="J7" s="133"/>
      <c r="K7" s="133"/>
    </row>
    <row r="8" spans="2:11">
      <c r="B8" s="819">
        <v>6</v>
      </c>
      <c r="C8" s="731" t="s">
        <v>1565</v>
      </c>
      <c r="D8" s="734">
        <f>COUNTIF(Tabla6[Comuna],"T")</f>
        <v>2</v>
      </c>
      <c r="E8" s="136" cm="1">
        <f t="array" ref="E8">MAX(0,SUMPRODUCT((Tabla6[Comisión / Comité]="Comité")*(Tabla6[Nombre y Apellidos]&lt;&gt;"")*(Tabla6[Estado]&lt;&gt;"Inactivo")))</f>
        <v>12</v>
      </c>
      <c r="F8" s="737">
        <f>COUNTIF(Tabla6[Comuna],"S")</f>
        <v>0</v>
      </c>
      <c r="G8" s="739" cm="1">
        <f t="array" ref="G8">MAX(0, SUMPRODUCT((Tabla6[Comisión / Comité]="Comisión")*(Tabla6[Nombre y Apellidos]&lt;&gt;""))-COUNTIF(Tabla6[Estado],"Inactivo"))</f>
        <v>0</v>
      </c>
      <c r="H8" s="138">
        <f t="shared" si="0"/>
        <v>2</v>
      </c>
      <c r="I8" s="138">
        <f t="shared" si="1"/>
        <v>12</v>
      </c>
      <c r="J8" s="134"/>
      <c r="K8" s="133"/>
    </row>
    <row r="9" spans="2:11">
      <c r="B9" s="819">
        <v>7</v>
      </c>
      <c r="C9" s="731" t="s">
        <v>1566</v>
      </c>
      <c r="D9" s="734">
        <f>COUNTIF(Tabla7[Comuna],"T")</f>
        <v>3</v>
      </c>
      <c r="E9" s="136" cm="1">
        <f t="array" ref="E9">MAX(0,SUMPRODUCT((Tabla7[Comisión / Comité]="Comité")*(Tabla7[Nombre y Apellidos]&lt;&gt;"")*(Tabla7[Estado]&lt;&gt;"Inactivo")))</f>
        <v>22</v>
      </c>
      <c r="F9" s="737">
        <f>COUNTIF(Tabla7[Comuna],"S")</f>
        <v>15</v>
      </c>
      <c r="G9" s="739" cm="1">
        <f t="array" ref="G9">MAX(0, SUMPRODUCT((Tabla7[Comisión / Comité]="Comisión")*(Tabla7[Nombre y Apellidos]&lt;&gt;""))-COUNTIF(Tabla7[Estado],"Inactivo"))</f>
        <v>115</v>
      </c>
      <c r="H9" s="138">
        <f t="shared" si="0"/>
        <v>18</v>
      </c>
      <c r="I9" s="138">
        <f t="shared" si="1"/>
        <v>137</v>
      </c>
      <c r="J9" s="133"/>
      <c r="K9" s="133"/>
    </row>
    <row r="10" spans="2:11">
      <c r="B10" s="819">
        <v>8</v>
      </c>
      <c r="C10" s="731" t="s">
        <v>1567</v>
      </c>
      <c r="D10" s="734">
        <f>COUNTIF(Tabla8[Comuna],"T")</f>
        <v>5</v>
      </c>
      <c r="E10" s="136" cm="1">
        <f t="array" ref="E10">MAX(0,SUMPRODUCT((Tabla8[Comisión / Comité]="Comité")*(Tabla8[Nombre y Apellidos]&lt;&gt;"")*(Tabla8[Estado]&lt;&gt;"Inactivo")))</f>
        <v>43</v>
      </c>
      <c r="F10" s="737">
        <f>COUNTIF(Tabla8[Comuna],"S")</f>
        <v>30</v>
      </c>
      <c r="G10" s="739" cm="1">
        <f t="array" ref="G10">MAX(0, SUMPRODUCT((Tabla8[Comisión / Comité]="Comisión")*(Tabla8[Nombre y Apellidos]&lt;&gt;""))-COUNTIF(Tabla8[Estado],"Inactivo"))</f>
        <v>188</v>
      </c>
      <c r="H10" s="138">
        <f t="shared" si="0"/>
        <v>35</v>
      </c>
      <c r="I10" s="138">
        <f t="shared" si="1"/>
        <v>231</v>
      </c>
      <c r="J10" s="133"/>
      <c r="K10" s="133"/>
    </row>
    <row r="11" spans="2:11">
      <c r="B11" s="819">
        <v>9</v>
      </c>
      <c r="C11" s="731" t="s">
        <v>1284</v>
      </c>
      <c r="D11" s="734">
        <f>COUNTIF(Tabla9[Comuna],"T")</f>
        <v>4</v>
      </c>
      <c r="E11" s="136" cm="1">
        <f t="array" ref="E11">MAX(0,SUMPRODUCT((Tabla9[Comisión / Comité]="Comité")*(Tabla9[Nombre y Apellidos]&lt;&gt;"")*(Tabla9[Estado]&lt;&gt;"Inactivo")))</f>
        <v>22</v>
      </c>
      <c r="F11" s="737">
        <f>COUNTIF(Tabla9[Comuna],"S")</f>
        <v>0</v>
      </c>
      <c r="G11" s="739" cm="1">
        <f t="array" ref="G11">MAX(0, SUMPRODUCT((Tabla6[Comisión / Comité]="Comisión")*(Tabla6[Nombre y Apellidos]&lt;&gt;""))-COUNTIF(Tabla6[Estado],"Inactivo"))</f>
        <v>0</v>
      </c>
      <c r="H11" s="138">
        <f t="shared" si="0"/>
        <v>4</v>
      </c>
      <c r="I11" s="138">
        <f t="shared" si="1"/>
        <v>22</v>
      </c>
    </row>
    <row r="12" spans="2:11">
      <c r="B12" s="819">
        <v>10</v>
      </c>
      <c r="C12" s="731" t="s">
        <v>1568</v>
      </c>
      <c r="D12" s="734">
        <f>COUNTIF(Tabla10[Comuna],"T")</f>
        <v>1</v>
      </c>
      <c r="E12" s="136" cm="1">
        <f t="array" ref="E12">MAX(0,SUMPRODUCT((Tabla10[Comisión / Comité]="Comité")*(Tabla10[Nombre y Apellidos]&lt;&gt;"")*(Tabla10[Estado]&lt;&gt;"Inactivo")))</f>
        <v>9</v>
      </c>
      <c r="F12" s="737">
        <f>COUNTIF(Tabla10[Comuna],"S")</f>
        <v>0</v>
      </c>
      <c r="G12" s="739" cm="1">
        <f t="array" ref="G12">MAX(0, SUMPRODUCT((Tabla10[Comisión / Comité]="Comisión")*(Tabla10[Nombre y Apellidos]&lt;&gt;""))-COUNTIF(Tabla10[Estado],"Inactivo"))</f>
        <v>0</v>
      </c>
      <c r="H12" s="138">
        <f t="shared" si="0"/>
        <v>1</v>
      </c>
      <c r="I12" s="138">
        <f t="shared" si="1"/>
        <v>9</v>
      </c>
    </row>
    <row r="13" spans="2:11">
      <c r="B13" s="912">
        <v>11</v>
      </c>
      <c r="C13" s="731" t="s">
        <v>1569</v>
      </c>
      <c r="D13" s="734">
        <f>COUNTIF(Tabla11[Comuna],"T")</f>
        <v>0</v>
      </c>
      <c r="E13" s="136" cm="1">
        <f t="array" ref="E13">MAX(0,SUMPRODUCT((Tabla11[Comisión / Comité]="Comité")*(Tabla11[Nombre y Apellidos]&lt;&gt;"")*(Tabla11[Estado]&lt;&gt;"Inactivo")))</f>
        <v>0</v>
      </c>
      <c r="F13" s="737">
        <f>COUNTIF(Tabla11[Comuna],"S")</f>
        <v>0</v>
      </c>
      <c r="G13" s="739" cm="1">
        <f t="array" ref="G13">MAX(0, SUMPRODUCT((Tabla11[Comisión / Comité]="Comisión")*(Tabla11[Nombre y Apellidos]&lt;&gt;""))-COUNTIF(Tabla11[Estado],"Inactivo"))</f>
        <v>0</v>
      </c>
      <c r="H13" s="135">
        <f t="shared" si="0"/>
        <v>0</v>
      </c>
      <c r="I13" s="135">
        <f t="shared" si="1"/>
        <v>0</v>
      </c>
    </row>
    <row r="14" spans="2:11">
      <c r="B14" s="819">
        <v>12</v>
      </c>
      <c r="C14" s="731" t="s">
        <v>1570</v>
      </c>
      <c r="D14" s="734">
        <f>COUNTIF(Tabla12[Comuna],"T")</f>
        <v>1</v>
      </c>
      <c r="E14" s="136" cm="1">
        <f t="array" ref="E14">MAX(0,SUMPRODUCT((Tabla12[Comisión / Comité]="Comité")*(Tabla12[Nombre y Apellidos]&lt;&gt;"")*(Tabla12[Estado]&lt;&gt;"Inactivo")))</f>
        <v>9</v>
      </c>
      <c r="F14" s="737">
        <f>COUNTIF(Tabla12[Comuna],"S")</f>
        <v>0</v>
      </c>
      <c r="G14" s="739" cm="1">
        <f t="array" ref="G14">MAX(0, SUMPRODUCT((Tabla12[Comisión / Comité]="Comisión")*(Tabla12[Nombre y Apellidos]&lt;&gt;""))-COUNTIF(Tabla12[Estado],"Inactivo"))</f>
        <v>0</v>
      </c>
      <c r="H14" s="135">
        <f t="shared" si="0"/>
        <v>1</v>
      </c>
      <c r="I14" s="135">
        <f t="shared" si="1"/>
        <v>9</v>
      </c>
    </row>
    <row r="15" spans="2:11">
      <c r="B15" s="819">
        <v>13</v>
      </c>
      <c r="C15" s="731" t="s">
        <v>1571</v>
      </c>
      <c r="D15" s="734">
        <f>COUNTIF(Tabla13[Comuna],"T")</f>
        <v>2</v>
      </c>
      <c r="E15" s="136" cm="1">
        <f t="array" ref="E15">MAX(0,SUMPRODUCT((Tabla13[Comisión / Comité]="Comité")*(Tabla13[Nombre y Apellidos]&lt;&gt;"")*(Tabla13[Estado]&lt;&gt;"Inactivo")))</f>
        <v>16</v>
      </c>
      <c r="F15" s="737">
        <f>COUNTIF(Tabla13[Comuna],"S")</f>
        <v>0</v>
      </c>
      <c r="G15" s="739" cm="1">
        <f t="array" ref="G15">MAX(0, SUMPRODUCT((Tabla13[Comisión / Comité]="Comisión")*(Tabla13[Nombre y Apellidos]&lt;&gt;""))-COUNTIF(Tabla13[Estado],"Inactivo"))</f>
        <v>0</v>
      </c>
      <c r="H15" s="135">
        <f>D15+F15</f>
        <v>2</v>
      </c>
      <c r="I15" s="135">
        <f t="shared" si="1"/>
        <v>16</v>
      </c>
    </row>
    <row r="16" spans="2:11">
      <c r="B16" s="898">
        <v>14</v>
      </c>
      <c r="C16" s="732" t="s">
        <v>1572</v>
      </c>
      <c r="D16" s="734">
        <f>COUNTIF(Tabla14[Comuna],"T")</f>
        <v>0</v>
      </c>
      <c r="E16" s="136" cm="1">
        <f t="array" ref="E16">MAX(0,SUMPRODUCT((Tabla14[Comisión / Comité]="Comité")*(Tabla14[Nombre y Apellidos]&lt;&gt;"")*(Tabla14[Estado]&lt;&gt;"Inactivo")))</f>
        <v>0</v>
      </c>
      <c r="F16" s="737">
        <f>COUNTIF(Tabla14[Comuna],"S")</f>
        <v>0</v>
      </c>
      <c r="G16" s="739" cm="1">
        <f t="array" ref="G16">MAX(0, SUMPRODUCT((Tabla14[Comisión / Comité]="Comisión")*(Tabla14[Nombre y Apellidos]&lt;&gt;""))-COUNTIF(Tabla14[Estado],"Inactivo"))</f>
        <v>0</v>
      </c>
      <c r="H16" s="135">
        <f t="shared" si="0"/>
        <v>0</v>
      </c>
      <c r="I16" s="135">
        <f t="shared" si="1"/>
        <v>0</v>
      </c>
    </row>
    <row r="17" spans="2:9">
      <c r="B17" s="819">
        <v>15</v>
      </c>
      <c r="C17" s="731" t="s">
        <v>1057</v>
      </c>
      <c r="D17" s="734">
        <f>COUNTIF(Tabla15[Comuna],"T")</f>
        <v>15</v>
      </c>
      <c r="E17" s="136" cm="1">
        <f t="array" ref="E17">MAX(0,SUMPRODUCT((Tabla15[Comisión / Comité]="Comité")*(Tabla15[Nombre y Apellidos]&lt;&gt;"")*(Tabla15[Estado]&lt;&gt;"Inactivo")))</f>
        <v>94</v>
      </c>
      <c r="F17" s="737">
        <f>COUNTIF(Tabla15[Comuna],"S")</f>
        <v>0</v>
      </c>
      <c r="G17" s="739" cm="1">
        <f t="array" ref="G17">MAX(0, SUMPRODUCT((Tabla15[Comisión / Comité]="Comisión")*(Tabla15[Nombre y Apellidos]&lt;&gt;""))-COUNTIF(Tabla15[Estado],"Inactivo"))</f>
        <v>0</v>
      </c>
      <c r="H17" s="135">
        <f t="shared" si="0"/>
        <v>15</v>
      </c>
      <c r="I17" s="135">
        <f t="shared" si="1"/>
        <v>94</v>
      </c>
    </row>
    <row r="18" spans="2:9">
      <c r="B18" s="819">
        <v>16</v>
      </c>
      <c r="C18" s="731" t="s">
        <v>1573</v>
      </c>
      <c r="D18" s="734">
        <f>COUNTIF(Tabla16[Comuna],"T")</f>
        <v>1</v>
      </c>
      <c r="E18" s="136" cm="1">
        <f t="array" ref="E18">MAX(0,SUMPRODUCT((Tabla16[Comisión / Comité]="Comité")*(Tabla16[Nombre y Apellidos]&lt;&gt;"")*(Tabla16[Estado]&lt;&gt;"Inactivo")))</f>
        <v>6</v>
      </c>
      <c r="F18" s="737">
        <f>COUNTIF(Tabla16[Comuna],"S")</f>
        <v>0</v>
      </c>
      <c r="G18" s="739" cm="1">
        <f t="array" ref="G18">MAX(0, SUMPRODUCT((Tabla16[Comisión / Comité]="Comisión")*(Tabla16[Nombre y Apellidos]&lt;&gt;""))-COUNTIF(Tabla16[Estado],"Inactivo"))</f>
        <v>0</v>
      </c>
      <c r="H18" s="135">
        <f t="shared" si="0"/>
        <v>1</v>
      </c>
      <c r="I18" s="135">
        <f t="shared" si="1"/>
        <v>6</v>
      </c>
    </row>
    <row r="19" spans="2:9">
      <c r="B19" s="819">
        <v>50</v>
      </c>
      <c r="C19" s="731" t="s">
        <v>1837</v>
      </c>
      <c r="D19" s="734">
        <f>COUNTIF(Tabla50[Comuna],"T")</f>
        <v>0</v>
      </c>
      <c r="E19" s="136" cm="1">
        <f t="array" ref="E19">MAX(0,SUMPRODUCT((Tabla50[Comisión / Comité]="Comité")*(Tabla50[Nombre y Apellidos]&lt;&gt;"")*(Tabla50[Estado]&lt;&gt;"Inactivo")))</f>
        <v>1</v>
      </c>
      <c r="F19" s="737">
        <f>COUNTIF(Tabla50[Comuna],"S")</f>
        <v>0</v>
      </c>
      <c r="G19" s="739" cm="1">
        <f t="array" ref="G19">MAX(0, SUMPRODUCT((Tabla50[Comisión / Comité]="Comisión")*(Tabla50[Nombre y Apellidos]&lt;&gt;""))-COUNTIF(Tabla50[Estado],"Inactivo"))</f>
        <v>0</v>
      </c>
      <c r="H19" s="135">
        <f t="shared" ref="H19:I23" si="2">D19+F19</f>
        <v>0</v>
      </c>
      <c r="I19" s="135">
        <f t="shared" si="2"/>
        <v>1</v>
      </c>
    </row>
    <row r="20" spans="2:9">
      <c r="B20" s="819">
        <v>60</v>
      </c>
      <c r="C20" s="731" t="s">
        <v>1574</v>
      </c>
      <c r="D20" s="734">
        <f>COUNTIF(Tabla60[Comuna],"T")</f>
        <v>1</v>
      </c>
      <c r="E20" s="136" cm="1">
        <f t="array" ref="E20">MAX(0,SUMPRODUCT((Tabla60[Comisión / Comité]="Comité")*(Tabla60[Nombre y Apellidos]&lt;&gt;"")*(Tabla60[Estado]&lt;&gt;"Inactivo")))</f>
        <v>6</v>
      </c>
      <c r="F20" s="737">
        <f>COUNTIF(Tabla60[Comuna],"S")</f>
        <v>2</v>
      </c>
      <c r="G20" s="739" cm="1">
        <f t="array" ref="G20">MAX(0, SUMPRODUCT((Tabla60[Comisión / Comité]="Comisión")*(Tabla60[Nombre y Apellidos]&lt;&gt;""))-COUNTIF(Tabla60[Estado],"Inactivo"))</f>
        <v>12</v>
      </c>
      <c r="H20" s="135">
        <f t="shared" si="2"/>
        <v>3</v>
      </c>
      <c r="I20" s="135">
        <f t="shared" si="2"/>
        <v>18</v>
      </c>
    </row>
    <row r="21" spans="2:9">
      <c r="B21" s="819">
        <v>70</v>
      </c>
      <c r="C21" s="731" t="s">
        <v>1575</v>
      </c>
      <c r="D21" s="734">
        <f>COUNTIF(Tabla70[Comuna],"T")</f>
        <v>3</v>
      </c>
      <c r="E21" s="136" cm="1">
        <f t="array" ref="E21">MAX(0,SUMPRODUCT((Tabla70[Comisión / Comité]="Comité")*(Tabla70[Nombre y Apellidos]&lt;&gt;"")*(Tabla70[Estado]&lt;&gt;"Inactivo")))</f>
        <v>38</v>
      </c>
      <c r="F21" s="737">
        <f>COUNTIF(Tabla70[Comuna],"S")</f>
        <v>0</v>
      </c>
      <c r="G21" s="739" cm="1">
        <f t="array" ref="G21">MAX(0, SUMPRODUCT((Tabla70[Comisión / Comité]="Comisión")*(Tabla70[Nombre y Apellidos]&lt;&gt;""))-COUNTIF(Tabla70[Estado],"Inactivo"))</f>
        <v>0</v>
      </c>
      <c r="H21" s="135">
        <f t="shared" si="2"/>
        <v>3</v>
      </c>
      <c r="I21" s="135">
        <f t="shared" si="2"/>
        <v>38</v>
      </c>
    </row>
    <row r="22" spans="2:9">
      <c r="B22" s="819">
        <v>80</v>
      </c>
      <c r="C22" s="731" t="s">
        <v>1576</v>
      </c>
      <c r="D22" s="734">
        <f>COUNTIF(Tabla80[Comuna],"T")</f>
        <v>0</v>
      </c>
      <c r="E22" s="136" cm="1">
        <f t="array" ref="E22">MAX(0,SUMPRODUCT((Tabla80[Comisión / Comité]="Comité")*(Tabla80[Nombre y Apellidos]&lt;&gt;"")*(Tabla80[Estado]&lt;&gt;"Inactivo")))</f>
        <v>0</v>
      </c>
      <c r="F22" s="737">
        <f>COUNTIF(Tabla80[Comuna],"S")</f>
        <v>16</v>
      </c>
      <c r="G22" s="739" cm="1">
        <f t="array" ref="G22">MAX(0, SUMPRODUCT((Tabla80[Comisión / Comité]="Comisión")*(Tabla80[Nombre y Apellidos]&lt;&gt;""))-COUNTIF(Tabla80[Estado],"Inactivo"))</f>
        <v>94</v>
      </c>
      <c r="H22" s="135">
        <f t="shared" si="2"/>
        <v>16</v>
      </c>
      <c r="I22" s="135">
        <f t="shared" si="2"/>
        <v>94</v>
      </c>
    </row>
    <row r="23" spans="2:9">
      <c r="B23" s="819">
        <v>90</v>
      </c>
      <c r="C23" s="731" t="s">
        <v>1577</v>
      </c>
      <c r="D23" s="734">
        <f>COUNTIF(Tabla90[Comuna],"T")</f>
        <v>0</v>
      </c>
      <c r="E23" s="136" cm="1">
        <f t="array" ref="E23">MAX(0,SUMPRODUCT((Tabla90[Comisión / Comité]="Comité")*(Tabla90[Nombre y Apellidos]&lt;&gt;"")*(Tabla90[Estado]&lt;&gt;"Inactivo")))</f>
        <v>0</v>
      </c>
      <c r="F23" s="737">
        <f>COUNTIF(Tabla90[Comuna],"S")</f>
        <v>11</v>
      </c>
      <c r="G23" s="739" cm="1">
        <f t="array" ref="G23">MAX(0, SUMPRODUCT((Tabla90[Comisión / Comité]="Comisión")*(Tabla90[Nombre y Apellidos]&lt;&gt;""))-COUNTIF(Tabla90[Estado],"Inactivo"))</f>
        <v>64</v>
      </c>
      <c r="H23" s="135">
        <f t="shared" si="2"/>
        <v>11</v>
      </c>
      <c r="I23" s="135">
        <f t="shared" si="2"/>
        <v>64</v>
      </c>
    </row>
    <row r="24" spans="2:9">
      <c r="D24" s="734">
        <f>SUM(D3:D23)</f>
        <v>42</v>
      </c>
      <c r="F24" s="737">
        <f t="shared" ref="F24" si="3">SUM(F3:F23)</f>
        <v>116</v>
      </c>
      <c r="H24" s="135">
        <f>SUM(H3:H23)</f>
        <v>158</v>
      </c>
      <c r="I24" s="135">
        <f>SUM(I3:I23)</f>
        <v>1087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B527-AD36-441F-AF8E-7CAD324120D8}">
  <dimension ref="B2:S155"/>
  <sheetViews>
    <sheetView tabSelected="1" topLeftCell="A148" zoomScale="55" zoomScaleNormal="55" workbookViewId="0">
      <selection activeCell="I164" sqref="I164"/>
    </sheetView>
  </sheetViews>
  <sheetFormatPr baseColWidth="10" defaultRowHeight="14.4"/>
  <cols>
    <col min="2" max="2" width="20.33203125" bestFit="1" customWidth="1"/>
    <col min="3" max="3" width="29.6640625" customWidth="1"/>
    <col min="4" max="4" width="29.5546875" bestFit="1" customWidth="1"/>
    <col min="5" max="5" width="33.33203125" customWidth="1"/>
    <col min="6" max="6" width="40.77734375" customWidth="1"/>
    <col min="7" max="7" width="17.44140625" bestFit="1" customWidth="1"/>
    <col min="8" max="8" width="15.44140625" bestFit="1" customWidth="1"/>
    <col min="9" max="9" width="33.6640625" bestFit="1" customWidth="1"/>
    <col min="10" max="10" width="15.44140625" bestFit="1" customWidth="1"/>
    <col min="11" max="11" width="26.77734375" bestFit="1" customWidth="1"/>
    <col min="12" max="12" width="17.6640625" bestFit="1" customWidth="1"/>
    <col min="13" max="13" width="42.5546875" customWidth="1"/>
    <col min="14" max="14" width="31.44140625" customWidth="1"/>
    <col min="15" max="15" width="24.109375" customWidth="1"/>
    <col min="16" max="16" width="22.21875" customWidth="1"/>
    <col min="17" max="17" width="41.33203125" bestFit="1" customWidth="1"/>
    <col min="18" max="18" width="31.44140625" customWidth="1"/>
    <col min="19" max="19" width="17.5546875" customWidth="1"/>
  </cols>
  <sheetData>
    <row r="2" spans="2:19">
      <c r="B2" s="988" t="s">
        <v>2288</v>
      </c>
      <c r="C2" s="976" t="s">
        <v>1854</v>
      </c>
      <c r="D2" s="976" t="s">
        <v>1584</v>
      </c>
      <c r="E2" s="976" t="s">
        <v>418</v>
      </c>
      <c r="F2" s="976" t="s">
        <v>1410</v>
      </c>
      <c r="G2" s="976" t="s">
        <v>5</v>
      </c>
      <c r="H2" s="976" t="s">
        <v>6</v>
      </c>
      <c r="I2" s="976" t="s">
        <v>7</v>
      </c>
      <c r="J2" s="976" t="s">
        <v>8</v>
      </c>
      <c r="K2" s="976" t="s">
        <v>9</v>
      </c>
      <c r="L2" s="976" t="s">
        <v>1589</v>
      </c>
      <c r="M2" s="976" t="s">
        <v>11</v>
      </c>
      <c r="N2" s="976" t="s">
        <v>12</v>
      </c>
      <c r="O2" s="976" t="s">
        <v>14</v>
      </c>
      <c r="P2" s="976" t="s">
        <v>16</v>
      </c>
      <c r="Q2" s="976" t="s">
        <v>1590</v>
      </c>
      <c r="R2" s="989" t="s">
        <v>18</v>
      </c>
      <c r="S2" s="989" t="s">
        <v>20</v>
      </c>
    </row>
    <row r="3" spans="2:19">
      <c r="B3" s="991">
        <v>1</v>
      </c>
      <c r="C3" s="953" t="s">
        <v>1560</v>
      </c>
      <c r="D3" s="953" t="s">
        <v>129</v>
      </c>
      <c r="E3" s="955" t="s">
        <v>23</v>
      </c>
      <c r="F3" s="955" t="s">
        <v>51</v>
      </c>
      <c r="G3" s="956">
        <v>42763715</v>
      </c>
      <c r="H3" s="955" t="s">
        <v>1191</v>
      </c>
      <c r="I3" s="986">
        <v>22620</v>
      </c>
      <c r="J3" s="956">
        <f ca="1">DATEDIF(I3,TODAY(),"Y")</f>
        <v>64</v>
      </c>
      <c r="K3" s="955" t="s">
        <v>1588</v>
      </c>
      <c r="L3" s="770">
        <v>3003849594</v>
      </c>
      <c r="M3" s="758" t="s">
        <v>1860</v>
      </c>
      <c r="N3" s="955" t="s">
        <v>1591</v>
      </c>
      <c r="O3" s="953" t="s">
        <v>891</v>
      </c>
      <c r="P3" s="953" t="s">
        <v>230</v>
      </c>
      <c r="Q3" s="986">
        <v>34601</v>
      </c>
      <c r="R3" s="957" t="s">
        <v>166</v>
      </c>
      <c r="S3" s="973" t="s">
        <v>210</v>
      </c>
    </row>
    <row r="4" spans="2:19">
      <c r="B4" s="992">
        <v>2</v>
      </c>
      <c r="C4" s="958" t="s">
        <v>1561</v>
      </c>
      <c r="D4" s="959" t="s">
        <v>129</v>
      </c>
      <c r="E4" s="960" t="s">
        <v>1998</v>
      </c>
      <c r="F4" s="960" t="s">
        <v>2175</v>
      </c>
      <c r="G4" s="995">
        <v>1023643463</v>
      </c>
      <c r="H4" s="959" t="s">
        <v>1191</v>
      </c>
      <c r="I4" s="1000">
        <v>21446</v>
      </c>
      <c r="J4" s="962">
        <v>67</v>
      </c>
      <c r="K4" s="959" t="s">
        <v>56</v>
      </c>
      <c r="L4" s="960">
        <v>3242615739</v>
      </c>
      <c r="M4" s="767" t="s">
        <v>67</v>
      </c>
      <c r="N4" s="959" t="s">
        <v>1602</v>
      </c>
      <c r="O4" s="953" t="s">
        <v>876</v>
      </c>
      <c r="P4" s="953" t="s">
        <v>461</v>
      </c>
      <c r="Q4" s="1000">
        <v>36892</v>
      </c>
      <c r="R4" s="963" t="s">
        <v>166</v>
      </c>
      <c r="S4" s="973" t="s">
        <v>210</v>
      </c>
    </row>
    <row r="5" spans="2:19">
      <c r="B5" s="992">
        <v>2</v>
      </c>
      <c r="C5" s="958" t="s">
        <v>1561</v>
      </c>
      <c r="D5" s="959" t="s">
        <v>151</v>
      </c>
      <c r="E5" s="960" t="s">
        <v>2148</v>
      </c>
      <c r="F5" s="960" t="s">
        <v>2154</v>
      </c>
      <c r="G5" s="996">
        <v>1017274765</v>
      </c>
      <c r="H5" s="959" t="s">
        <v>1187</v>
      </c>
      <c r="I5" s="771">
        <v>29705</v>
      </c>
      <c r="J5" s="962">
        <v>45</v>
      </c>
      <c r="K5" s="959"/>
      <c r="L5" s="770">
        <v>3147681539</v>
      </c>
      <c r="M5" s="770" t="s">
        <v>2153</v>
      </c>
      <c r="N5" s="959" t="s">
        <v>1603</v>
      </c>
      <c r="O5" s="953" t="s">
        <v>164</v>
      </c>
      <c r="P5" s="953" t="s">
        <v>663</v>
      </c>
      <c r="Q5" s="771">
        <v>45889</v>
      </c>
      <c r="R5" s="963" t="s">
        <v>166</v>
      </c>
      <c r="S5" s="973" t="s">
        <v>210</v>
      </c>
    </row>
    <row r="6" spans="2:19">
      <c r="B6" s="992">
        <v>2</v>
      </c>
      <c r="C6" s="958" t="s">
        <v>1561</v>
      </c>
      <c r="D6" s="959" t="s">
        <v>151</v>
      </c>
      <c r="E6" s="960" t="s">
        <v>2110</v>
      </c>
      <c r="F6" s="960" t="s">
        <v>2145</v>
      </c>
      <c r="G6" s="996">
        <v>98497082</v>
      </c>
      <c r="H6" s="959" t="s">
        <v>1187</v>
      </c>
      <c r="I6" s="771">
        <v>24753</v>
      </c>
      <c r="J6" s="962">
        <v>58</v>
      </c>
      <c r="K6" s="959"/>
      <c r="L6" s="770">
        <v>3117424814</v>
      </c>
      <c r="M6" s="770" t="s">
        <v>2144</v>
      </c>
      <c r="N6" s="959" t="s">
        <v>1604</v>
      </c>
      <c r="O6" s="953" t="s">
        <v>333</v>
      </c>
      <c r="P6" s="953" t="s">
        <v>193</v>
      </c>
      <c r="Q6" s="771">
        <v>45889</v>
      </c>
      <c r="R6" s="963" t="s">
        <v>166</v>
      </c>
      <c r="S6" s="973" t="s">
        <v>210</v>
      </c>
    </row>
    <row r="7" spans="2:19">
      <c r="B7" s="992">
        <v>2</v>
      </c>
      <c r="C7" s="958" t="s">
        <v>1561</v>
      </c>
      <c r="D7" s="959" t="s">
        <v>151</v>
      </c>
      <c r="E7" s="960" t="s">
        <v>2123</v>
      </c>
      <c r="F7" s="960" t="s">
        <v>2129</v>
      </c>
      <c r="G7" s="996">
        <v>1035421467</v>
      </c>
      <c r="H7" s="959" t="s">
        <v>1187</v>
      </c>
      <c r="I7" s="771">
        <v>32617</v>
      </c>
      <c r="J7" s="962">
        <v>37</v>
      </c>
      <c r="K7" s="959"/>
      <c r="L7" s="770">
        <v>3136889502</v>
      </c>
      <c r="M7" s="770" t="s">
        <v>2128</v>
      </c>
      <c r="N7" s="959"/>
      <c r="O7" s="953" t="s">
        <v>164</v>
      </c>
      <c r="P7" s="953" t="s">
        <v>663</v>
      </c>
      <c r="Q7" s="771">
        <v>46626</v>
      </c>
      <c r="R7" s="963" t="s">
        <v>166</v>
      </c>
      <c r="S7" s="973" t="s">
        <v>210</v>
      </c>
    </row>
    <row r="8" spans="2:19">
      <c r="B8" s="992">
        <v>2</v>
      </c>
      <c r="C8" s="958" t="s">
        <v>1561</v>
      </c>
      <c r="D8" s="959" t="s">
        <v>151</v>
      </c>
      <c r="E8" s="960" t="s">
        <v>2008</v>
      </c>
      <c r="F8" s="960" t="s">
        <v>2119</v>
      </c>
      <c r="G8" s="996">
        <v>1146441281</v>
      </c>
      <c r="H8" s="959" t="s">
        <v>1191</v>
      </c>
      <c r="I8" s="771">
        <v>35582</v>
      </c>
      <c r="J8" s="962">
        <v>28</v>
      </c>
      <c r="K8" s="959"/>
      <c r="L8" s="770">
        <v>3242810777</v>
      </c>
      <c r="M8" s="770" t="s">
        <v>2118</v>
      </c>
      <c r="N8" s="959" t="s">
        <v>1602</v>
      </c>
      <c r="O8" s="953" t="s">
        <v>1585</v>
      </c>
      <c r="P8" s="953" t="s">
        <v>193</v>
      </c>
      <c r="Q8" s="771">
        <v>45905</v>
      </c>
      <c r="R8" s="963" t="s">
        <v>166</v>
      </c>
      <c r="S8" s="973" t="s">
        <v>210</v>
      </c>
    </row>
    <row r="9" spans="2:19">
      <c r="B9" s="992">
        <v>2</v>
      </c>
      <c r="C9" s="958" t="s">
        <v>1561</v>
      </c>
      <c r="D9" s="959" t="s">
        <v>151</v>
      </c>
      <c r="E9" s="960" t="s">
        <v>2100</v>
      </c>
      <c r="F9" s="960" t="s">
        <v>2102</v>
      </c>
      <c r="G9" s="996">
        <v>43678278</v>
      </c>
      <c r="H9" s="959" t="s">
        <v>1191</v>
      </c>
      <c r="I9" s="771">
        <v>25537</v>
      </c>
      <c r="J9" s="962">
        <v>56</v>
      </c>
      <c r="K9" s="959"/>
      <c r="L9" s="770">
        <v>3242291172</v>
      </c>
      <c r="M9" s="770" t="s">
        <v>2101</v>
      </c>
      <c r="N9" s="959" t="s">
        <v>1605</v>
      </c>
      <c r="O9" s="953" t="s">
        <v>891</v>
      </c>
      <c r="P9" s="953" t="s">
        <v>663</v>
      </c>
      <c r="Q9" s="771">
        <v>45889</v>
      </c>
      <c r="R9" s="963" t="s">
        <v>166</v>
      </c>
      <c r="S9" s="973" t="s">
        <v>210</v>
      </c>
    </row>
    <row r="10" spans="2:19">
      <c r="B10" s="992">
        <v>2</v>
      </c>
      <c r="C10" s="958" t="s">
        <v>1561</v>
      </c>
      <c r="D10" s="959" t="s">
        <v>151</v>
      </c>
      <c r="E10" s="960" t="s">
        <v>2090</v>
      </c>
      <c r="F10" s="960" t="s">
        <v>2095</v>
      </c>
      <c r="G10" s="996">
        <v>43913160</v>
      </c>
      <c r="H10" s="959" t="s">
        <v>1191</v>
      </c>
      <c r="I10" s="771">
        <v>29716</v>
      </c>
      <c r="J10" s="962">
        <v>45</v>
      </c>
      <c r="K10" s="959"/>
      <c r="L10" s="770">
        <v>3002663407</v>
      </c>
      <c r="M10" s="770" t="s">
        <v>2094</v>
      </c>
      <c r="N10" s="959" t="s">
        <v>1606</v>
      </c>
      <c r="O10" s="953" t="s">
        <v>164</v>
      </c>
      <c r="P10" s="953" t="s">
        <v>193</v>
      </c>
      <c r="Q10" s="771">
        <v>45890</v>
      </c>
      <c r="R10" s="963" t="s">
        <v>166</v>
      </c>
      <c r="S10" s="973" t="s">
        <v>210</v>
      </c>
    </row>
    <row r="11" spans="2:19">
      <c r="B11" s="992">
        <v>2</v>
      </c>
      <c r="C11" s="958" t="s">
        <v>1561</v>
      </c>
      <c r="D11" s="959" t="s">
        <v>151</v>
      </c>
      <c r="E11" s="960" t="s">
        <v>2078</v>
      </c>
      <c r="F11" s="960" t="s">
        <v>2080</v>
      </c>
      <c r="G11" s="996">
        <v>1000886912</v>
      </c>
      <c r="H11" s="959" t="s">
        <v>1191</v>
      </c>
      <c r="I11" s="771">
        <v>37773</v>
      </c>
      <c r="J11" s="962">
        <v>22</v>
      </c>
      <c r="K11" s="959"/>
      <c r="L11" s="770">
        <v>3006965416</v>
      </c>
      <c r="M11" s="770" t="s">
        <v>2079</v>
      </c>
      <c r="N11" s="964" t="s">
        <v>1607</v>
      </c>
      <c r="O11" s="953" t="s">
        <v>192</v>
      </c>
      <c r="P11" s="953" t="s">
        <v>663</v>
      </c>
      <c r="Q11" s="771">
        <v>45898</v>
      </c>
      <c r="R11" s="963" t="s">
        <v>166</v>
      </c>
      <c r="S11" s="973" t="s">
        <v>210</v>
      </c>
    </row>
    <row r="12" spans="2:19">
      <c r="B12" s="992">
        <v>2</v>
      </c>
      <c r="C12" s="958" t="s">
        <v>1561</v>
      </c>
      <c r="D12" s="959" t="s">
        <v>151</v>
      </c>
      <c r="E12" s="960" t="s">
        <v>2065</v>
      </c>
      <c r="F12" s="960" t="s">
        <v>2067</v>
      </c>
      <c r="G12" s="996">
        <v>71214368</v>
      </c>
      <c r="H12" s="959" t="s">
        <v>1187</v>
      </c>
      <c r="I12" s="771">
        <v>28763</v>
      </c>
      <c r="J12" s="962">
        <v>47</v>
      </c>
      <c r="K12" s="959"/>
      <c r="L12" s="770">
        <v>3244097812</v>
      </c>
      <c r="M12" s="770" t="s">
        <v>2066</v>
      </c>
      <c r="N12" s="959" t="s">
        <v>1609</v>
      </c>
      <c r="O12" s="953" t="s">
        <v>164</v>
      </c>
      <c r="P12" s="953" t="s">
        <v>663</v>
      </c>
      <c r="Q12" s="771">
        <v>45890</v>
      </c>
      <c r="R12" s="963" t="s">
        <v>166</v>
      </c>
      <c r="S12" s="973" t="s">
        <v>210</v>
      </c>
    </row>
    <row r="13" spans="2:19">
      <c r="B13" s="992">
        <v>2</v>
      </c>
      <c r="C13" s="958" t="s">
        <v>1561</v>
      </c>
      <c r="D13" s="959" t="s">
        <v>151</v>
      </c>
      <c r="E13" s="960" t="s">
        <v>2052</v>
      </c>
      <c r="F13" s="960" t="s">
        <v>2054</v>
      </c>
      <c r="G13" s="996">
        <v>42995012</v>
      </c>
      <c r="H13" s="959" t="s">
        <v>1191</v>
      </c>
      <c r="I13" s="771">
        <v>21643</v>
      </c>
      <c r="J13" s="962">
        <v>67</v>
      </c>
      <c r="K13" s="959"/>
      <c r="L13" s="770">
        <v>3002458751</v>
      </c>
      <c r="M13" s="770" t="s">
        <v>2053</v>
      </c>
      <c r="N13" s="964" t="s">
        <v>1608</v>
      </c>
      <c r="O13" s="953" t="s">
        <v>164</v>
      </c>
      <c r="P13" s="953" t="s">
        <v>663</v>
      </c>
      <c r="Q13" s="771">
        <v>45890</v>
      </c>
      <c r="R13" s="963" t="s">
        <v>166</v>
      </c>
      <c r="S13" s="973" t="s">
        <v>210</v>
      </c>
    </row>
    <row r="14" spans="2:19">
      <c r="B14" s="992">
        <v>2</v>
      </c>
      <c r="C14" s="954" t="s">
        <v>1561</v>
      </c>
      <c r="D14" s="959" t="s">
        <v>151</v>
      </c>
      <c r="E14" s="960" t="s">
        <v>2041</v>
      </c>
      <c r="F14" s="960" t="s">
        <v>2049</v>
      </c>
      <c r="G14" s="996">
        <v>32527933</v>
      </c>
      <c r="H14" s="959" t="s">
        <v>1191</v>
      </c>
      <c r="I14" s="771">
        <v>19700</v>
      </c>
      <c r="J14" s="965">
        <v>72</v>
      </c>
      <c r="K14" s="959"/>
      <c r="L14" s="770">
        <v>3174224367</v>
      </c>
      <c r="M14" s="770" t="s">
        <v>2048</v>
      </c>
      <c r="N14" s="959" t="s">
        <v>1561</v>
      </c>
      <c r="O14" s="953" t="s">
        <v>891</v>
      </c>
      <c r="P14" s="953" t="s">
        <v>193</v>
      </c>
      <c r="Q14" s="771">
        <v>45891</v>
      </c>
      <c r="R14" s="966" t="s">
        <v>166</v>
      </c>
      <c r="S14" s="973" t="s">
        <v>210</v>
      </c>
    </row>
    <row r="15" spans="2:19">
      <c r="B15" s="992">
        <v>2</v>
      </c>
      <c r="C15" s="954" t="s">
        <v>1561</v>
      </c>
      <c r="D15" s="959" t="s">
        <v>151</v>
      </c>
      <c r="E15" s="960" t="s">
        <v>2026</v>
      </c>
      <c r="F15" s="960" t="s">
        <v>2038</v>
      </c>
      <c r="G15" s="996">
        <v>1128482169</v>
      </c>
      <c r="H15" s="959" t="s">
        <v>1187</v>
      </c>
      <c r="I15" s="771">
        <v>33764</v>
      </c>
      <c r="J15" s="965">
        <v>33</v>
      </c>
      <c r="K15" s="959"/>
      <c r="L15" s="770">
        <v>3013503309</v>
      </c>
      <c r="M15" s="770" t="s">
        <v>2037</v>
      </c>
      <c r="N15" s="959" t="s">
        <v>1561</v>
      </c>
      <c r="O15" s="953" t="s">
        <v>164</v>
      </c>
      <c r="P15" s="953" t="s">
        <v>663</v>
      </c>
      <c r="Q15" s="771">
        <v>45901</v>
      </c>
      <c r="R15" s="966" t="s">
        <v>166</v>
      </c>
      <c r="S15" s="973" t="s">
        <v>210</v>
      </c>
    </row>
    <row r="16" spans="2:19">
      <c r="B16" s="992">
        <v>2</v>
      </c>
      <c r="C16" s="958" t="s">
        <v>1561</v>
      </c>
      <c r="D16" s="959" t="s">
        <v>151</v>
      </c>
      <c r="E16" s="960" t="s">
        <v>2015</v>
      </c>
      <c r="F16" s="960" t="s">
        <v>2014</v>
      </c>
      <c r="G16" s="996">
        <v>71382665</v>
      </c>
      <c r="H16" s="959" t="s">
        <v>1187</v>
      </c>
      <c r="I16" s="771">
        <v>29858</v>
      </c>
      <c r="J16" s="962">
        <v>44</v>
      </c>
      <c r="K16" s="959"/>
      <c r="L16" s="770">
        <v>3104055124</v>
      </c>
      <c r="M16" s="770" t="s">
        <v>2013</v>
      </c>
      <c r="N16" s="959" t="s">
        <v>1610</v>
      </c>
      <c r="O16" s="953" t="s">
        <v>333</v>
      </c>
      <c r="P16" s="953" t="s">
        <v>663</v>
      </c>
      <c r="Q16" s="771">
        <v>45891</v>
      </c>
      <c r="R16" s="963" t="s">
        <v>166</v>
      </c>
      <c r="S16" s="973" t="s">
        <v>210</v>
      </c>
    </row>
    <row r="17" spans="2:19">
      <c r="B17" s="992">
        <v>2</v>
      </c>
      <c r="C17" s="958" t="s">
        <v>1561</v>
      </c>
      <c r="D17" s="959" t="s">
        <v>151</v>
      </c>
      <c r="E17" s="967" t="s">
        <v>2000</v>
      </c>
      <c r="F17" s="967" t="s">
        <v>2012</v>
      </c>
      <c r="G17" s="997">
        <v>1035434038</v>
      </c>
      <c r="H17" s="959" t="s">
        <v>1191</v>
      </c>
      <c r="I17" s="969">
        <v>34932</v>
      </c>
      <c r="J17" s="962">
        <v>30</v>
      </c>
      <c r="K17" s="959"/>
      <c r="L17" s="968">
        <v>3205879007</v>
      </c>
      <c r="M17" s="968" t="s">
        <v>2011</v>
      </c>
      <c r="N17" s="959"/>
      <c r="O17" s="953" t="s">
        <v>164</v>
      </c>
      <c r="P17" s="953" t="s">
        <v>170</v>
      </c>
      <c r="Q17" s="969">
        <v>45939</v>
      </c>
      <c r="R17" s="963" t="s">
        <v>166</v>
      </c>
      <c r="S17" s="974" t="s">
        <v>210</v>
      </c>
    </row>
    <row r="18" spans="2:19">
      <c r="B18" s="992">
        <v>3</v>
      </c>
      <c r="C18" s="959" t="s">
        <v>1562</v>
      </c>
      <c r="D18" s="959" t="s">
        <v>151</v>
      </c>
      <c r="E18" s="1007" t="s">
        <v>152</v>
      </c>
      <c r="F18" s="1008" t="s">
        <v>161</v>
      </c>
      <c r="G18" s="1009">
        <v>43497474</v>
      </c>
      <c r="H18" s="959" t="s">
        <v>1191</v>
      </c>
      <c r="I18" s="1010">
        <v>24145</v>
      </c>
      <c r="J18" s="962">
        <v>60</v>
      </c>
      <c r="K18" s="959"/>
      <c r="L18" s="1008">
        <v>3207367036</v>
      </c>
      <c r="M18" s="1008" t="s">
        <v>162</v>
      </c>
      <c r="N18" s="959" t="s">
        <v>152</v>
      </c>
      <c r="O18" s="953" t="s">
        <v>164</v>
      </c>
      <c r="P18" s="953" t="s">
        <v>663</v>
      </c>
      <c r="Q18" s="1003">
        <v>2024</v>
      </c>
      <c r="R18" s="963" t="s">
        <v>166</v>
      </c>
      <c r="S18" s="975" t="s">
        <v>210</v>
      </c>
    </row>
    <row r="19" spans="2:19">
      <c r="B19" s="992">
        <v>3</v>
      </c>
      <c r="C19" s="959" t="s">
        <v>1562</v>
      </c>
      <c r="D19" s="959" t="s">
        <v>151</v>
      </c>
      <c r="E19" s="770" t="s">
        <v>205</v>
      </c>
      <c r="F19" s="1008" t="s">
        <v>222</v>
      </c>
      <c r="G19" s="1009">
        <v>43033004</v>
      </c>
      <c r="H19" s="959" t="s">
        <v>1191</v>
      </c>
      <c r="I19" s="1010">
        <v>22766</v>
      </c>
      <c r="J19" s="962">
        <v>64</v>
      </c>
      <c r="K19" s="959"/>
      <c r="L19" s="1008">
        <v>3136970720</v>
      </c>
      <c r="M19" s="1011" t="s">
        <v>223</v>
      </c>
      <c r="N19" s="959" t="s">
        <v>1623</v>
      </c>
      <c r="O19" s="953" t="s">
        <v>333</v>
      </c>
      <c r="P19" s="953" t="s">
        <v>461</v>
      </c>
      <c r="Q19" s="1003">
        <v>2024</v>
      </c>
      <c r="R19" s="963" t="s">
        <v>166</v>
      </c>
      <c r="S19" s="975" t="s">
        <v>210</v>
      </c>
    </row>
    <row r="20" spans="2:19">
      <c r="B20" s="992">
        <v>3</v>
      </c>
      <c r="C20" s="959" t="s">
        <v>1562</v>
      </c>
      <c r="D20" s="959" t="s">
        <v>151</v>
      </c>
      <c r="E20" s="770" t="s">
        <v>235</v>
      </c>
      <c r="F20" s="1008" t="s">
        <v>236</v>
      </c>
      <c r="G20" s="1009">
        <v>43577287</v>
      </c>
      <c r="H20" s="959" t="s">
        <v>1191</v>
      </c>
      <c r="I20" s="1010">
        <v>27268</v>
      </c>
      <c r="J20" s="962">
        <v>51</v>
      </c>
      <c r="K20" s="959"/>
      <c r="L20" s="1008">
        <v>3173175409</v>
      </c>
      <c r="M20" s="1012" t="s">
        <v>237</v>
      </c>
      <c r="N20" s="959" t="s">
        <v>1612</v>
      </c>
      <c r="O20" s="953" t="s">
        <v>1585</v>
      </c>
      <c r="P20" s="953" t="s">
        <v>663</v>
      </c>
      <c r="Q20" s="1003">
        <v>2024</v>
      </c>
      <c r="R20" s="963" t="s">
        <v>166</v>
      </c>
      <c r="S20" s="975" t="s">
        <v>210</v>
      </c>
    </row>
    <row r="21" spans="2:19">
      <c r="B21" s="993">
        <v>3</v>
      </c>
      <c r="C21" s="964" t="s">
        <v>1562</v>
      </c>
      <c r="D21" s="964" t="s">
        <v>151</v>
      </c>
      <c r="E21" s="770" t="s">
        <v>251</v>
      </c>
      <c r="F21" s="1008" t="s">
        <v>252</v>
      </c>
      <c r="G21" s="1009">
        <v>6695424</v>
      </c>
      <c r="H21" s="959" t="s">
        <v>1187</v>
      </c>
      <c r="I21" s="1010">
        <v>19639</v>
      </c>
      <c r="J21" s="965">
        <v>72</v>
      </c>
      <c r="K21" s="959"/>
      <c r="L21" s="1008">
        <v>3016467966</v>
      </c>
      <c r="M21" s="1008" t="s">
        <v>253</v>
      </c>
      <c r="N21" s="964" t="s">
        <v>1621</v>
      </c>
      <c r="O21" s="953" t="s">
        <v>333</v>
      </c>
      <c r="P21" s="953" t="s">
        <v>230</v>
      </c>
      <c r="Q21" s="1003">
        <v>2024</v>
      </c>
      <c r="R21" s="966" t="s">
        <v>166</v>
      </c>
      <c r="S21" s="975" t="s">
        <v>210</v>
      </c>
    </row>
    <row r="22" spans="2:19">
      <c r="B22" s="993">
        <v>3</v>
      </c>
      <c r="C22" s="964" t="s">
        <v>1562</v>
      </c>
      <c r="D22" s="964" t="s">
        <v>151</v>
      </c>
      <c r="E22" s="770" t="s">
        <v>265</v>
      </c>
      <c r="F22" s="1008" t="s">
        <v>266</v>
      </c>
      <c r="G22" s="1009">
        <v>44003685</v>
      </c>
      <c r="H22" s="959" t="s">
        <v>1191</v>
      </c>
      <c r="I22" s="1010">
        <v>31127</v>
      </c>
      <c r="J22" s="965">
        <v>41</v>
      </c>
      <c r="K22" s="959"/>
      <c r="L22" s="1008">
        <v>3244791561</v>
      </c>
      <c r="M22" s="1008" t="s">
        <v>267</v>
      </c>
      <c r="N22" s="964" t="s">
        <v>265</v>
      </c>
      <c r="O22" s="953" t="s">
        <v>1585</v>
      </c>
      <c r="P22" s="953" t="s">
        <v>663</v>
      </c>
      <c r="Q22" s="1003">
        <v>2024</v>
      </c>
      <c r="R22" s="966" t="s">
        <v>166</v>
      </c>
      <c r="S22" s="975" t="s">
        <v>210</v>
      </c>
    </row>
    <row r="23" spans="2:19">
      <c r="B23" s="993">
        <v>3</v>
      </c>
      <c r="C23" s="964" t="s">
        <v>1562</v>
      </c>
      <c r="D23" s="964" t="s">
        <v>151</v>
      </c>
      <c r="E23" s="1013" t="s">
        <v>280</v>
      </c>
      <c r="F23" s="1014" t="s">
        <v>281</v>
      </c>
      <c r="G23" s="1015">
        <v>71671176</v>
      </c>
      <c r="H23" s="959" t="s">
        <v>1187</v>
      </c>
      <c r="I23" s="1016">
        <v>23928</v>
      </c>
      <c r="J23" s="965">
        <v>60</v>
      </c>
      <c r="K23" s="959" t="s">
        <v>56</v>
      </c>
      <c r="L23" s="1014">
        <v>3005206667</v>
      </c>
      <c r="M23" s="1014" t="s">
        <v>282</v>
      </c>
      <c r="N23" s="964" t="s">
        <v>152</v>
      </c>
      <c r="O23" s="953" t="s">
        <v>164</v>
      </c>
      <c r="P23" s="953" t="s">
        <v>663</v>
      </c>
      <c r="Q23" s="1004">
        <v>2024</v>
      </c>
      <c r="R23" s="966" t="s">
        <v>166</v>
      </c>
      <c r="S23" s="975" t="s">
        <v>210</v>
      </c>
    </row>
    <row r="24" spans="2:19">
      <c r="B24" s="993">
        <v>3</v>
      </c>
      <c r="C24" s="964" t="s">
        <v>1562</v>
      </c>
      <c r="D24" s="964" t="s">
        <v>151</v>
      </c>
      <c r="E24" s="770" t="s">
        <v>294</v>
      </c>
      <c r="F24" s="1008" t="s">
        <v>295</v>
      </c>
      <c r="G24" s="1009">
        <v>43577555</v>
      </c>
      <c r="H24" s="959" t="s">
        <v>1191</v>
      </c>
      <c r="I24" s="1010">
        <v>25060</v>
      </c>
      <c r="J24" s="965">
        <v>57</v>
      </c>
      <c r="K24" s="959"/>
      <c r="L24" s="1008">
        <v>3242731649</v>
      </c>
      <c r="M24" s="1008" t="s">
        <v>296</v>
      </c>
      <c r="N24" s="964" t="s">
        <v>297</v>
      </c>
      <c r="O24" s="953" t="s">
        <v>164</v>
      </c>
      <c r="P24" s="953" t="s">
        <v>461</v>
      </c>
      <c r="Q24" s="1003">
        <v>2024</v>
      </c>
      <c r="R24" s="966" t="s">
        <v>166</v>
      </c>
      <c r="S24" s="975" t="s">
        <v>210</v>
      </c>
    </row>
    <row r="25" spans="2:19">
      <c r="B25" s="993">
        <v>3</v>
      </c>
      <c r="C25" s="964" t="s">
        <v>1562</v>
      </c>
      <c r="D25" s="964" t="s">
        <v>151</v>
      </c>
      <c r="E25" s="770" t="s">
        <v>329</v>
      </c>
      <c r="F25" s="1008" t="s">
        <v>330</v>
      </c>
      <c r="G25" s="1009">
        <v>1017188402</v>
      </c>
      <c r="H25" s="959" t="s">
        <v>1187</v>
      </c>
      <c r="I25" s="1010">
        <v>33294</v>
      </c>
      <c r="J25" s="965">
        <v>35</v>
      </c>
      <c r="K25" s="959"/>
      <c r="L25" s="1008">
        <v>3145809957</v>
      </c>
      <c r="M25" s="1008" t="s">
        <v>331</v>
      </c>
      <c r="N25" s="964" t="s">
        <v>1619</v>
      </c>
      <c r="O25" s="953" t="s">
        <v>333</v>
      </c>
      <c r="P25" s="953" t="s">
        <v>663</v>
      </c>
      <c r="Q25" s="1003">
        <v>2024</v>
      </c>
      <c r="R25" s="966" t="s">
        <v>166</v>
      </c>
      <c r="S25" s="975" t="s">
        <v>210</v>
      </c>
    </row>
    <row r="26" spans="2:19">
      <c r="B26" s="992">
        <v>3</v>
      </c>
      <c r="C26" s="959" t="s">
        <v>1562</v>
      </c>
      <c r="D26" s="959" t="s">
        <v>151</v>
      </c>
      <c r="E26" s="1013" t="s">
        <v>360</v>
      </c>
      <c r="F26" s="1014" t="s">
        <v>364</v>
      </c>
      <c r="G26" s="1015">
        <v>3003563750</v>
      </c>
      <c r="H26" s="959" t="s">
        <v>1191</v>
      </c>
      <c r="I26" s="1016">
        <v>30392</v>
      </c>
      <c r="J26" s="962">
        <v>43</v>
      </c>
      <c r="K26" s="959" t="s">
        <v>73</v>
      </c>
      <c r="L26" s="1014">
        <v>3003563750</v>
      </c>
      <c r="M26" s="1014" t="s">
        <v>365</v>
      </c>
      <c r="N26" s="959" t="s">
        <v>265</v>
      </c>
      <c r="O26" s="953" t="s">
        <v>891</v>
      </c>
      <c r="P26" s="953" t="s">
        <v>170</v>
      </c>
      <c r="Q26" s="1004">
        <v>2024</v>
      </c>
      <c r="R26" s="966" t="s">
        <v>166</v>
      </c>
      <c r="S26" s="975" t="s">
        <v>210</v>
      </c>
    </row>
    <row r="27" spans="2:19">
      <c r="B27" s="992">
        <v>3</v>
      </c>
      <c r="C27" s="959" t="s">
        <v>1562</v>
      </c>
      <c r="D27" s="959" t="s">
        <v>151</v>
      </c>
      <c r="E27" s="770" t="s">
        <v>377</v>
      </c>
      <c r="F27" s="1008" t="s">
        <v>386</v>
      </c>
      <c r="G27" s="1009">
        <v>71620482</v>
      </c>
      <c r="H27" s="959" t="s">
        <v>1187</v>
      </c>
      <c r="I27" s="1010">
        <v>22864</v>
      </c>
      <c r="J27" s="962">
        <v>63</v>
      </c>
      <c r="K27" s="959"/>
      <c r="L27" s="1008">
        <v>3150415144</v>
      </c>
      <c r="M27" s="1008" t="s">
        <v>387</v>
      </c>
      <c r="N27" s="959" t="s">
        <v>1613</v>
      </c>
      <c r="O27" s="953" t="s">
        <v>164</v>
      </c>
      <c r="P27" s="953" t="s">
        <v>230</v>
      </c>
      <c r="Q27" s="1003">
        <v>2024</v>
      </c>
      <c r="R27" s="966" t="s">
        <v>166</v>
      </c>
      <c r="S27" s="975" t="s">
        <v>210</v>
      </c>
    </row>
    <row r="28" spans="2:19">
      <c r="B28" s="992">
        <v>3</v>
      </c>
      <c r="C28" s="959" t="s">
        <v>1562</v>
      </c>
      <c r="D28" s="959" t="s">
        <v>151</v>
      </c>
      <c r="E28" s="770" t="s">
        <v>390</v>
      </c>
      <c r="F28" s="1008" t="s">
        <v>2183</v>
      </c>
      <c r="G28" s="1009">
        <v>1037618062</v>
      </c>
      <c r="H28" s="959" t="s">
        <v>1187</v>
      </c>
      <c r="I28" s="1010">
        <v>33620</v>
      </c>
      <c r="J28" s="962">
        <v>34</v>
      </c>
      <c r="K28" s="959"/>
      <c r="L28" s="1008">
        <v>3012088280</v>
      </c>
      <c r="M28" s="1008" t="s">
        <v>392</v>
      </c>
      <c r="N28" s="964" t="s">
        <v>1620</v>
      </c>
      <c r="O28" s="953" t="s">
        <v>1585</v>
      </c>
      <c r="P28" s="953" t="s">
        <v>193</v>
      </c>
      <c r="Q28" s="1003">
        <v>2024</v>
      </c>
      <c r="R28" s="966" t="s">
        <v>166</v>
      </c>
      <c r="S28" s="975" t="s">
        <v>210</v>
      </c>
    </row>
    <row r="29" spans="2:19">
      <c r="B29" s="992">
        <v>3</v>
      </c>
      <c r="C29" s="959" t="s">
        <v>1562</v>
      </c>
      <c r="D29" s="959" t="s">
        <v>129</v>
      </c>
      <c r="E29" s="770" t="s">
        <v>393</v>
      </c>
      <c r="F29" s="990" t="s">
        <v>406</v>
      </c>
      <c r="G29" s="1017">
        <v>1000766099</v>
      </c>
      <c r="H29" s="959" t="s">
        <v>1191</v>
      </c>
      <c r="I29" s="1010">
        <v>33904</v>
      </c>
      <c r="J29" s="962">
        <v>33</v>
      </c>
      <c r="K29" s="959"/>
      <c r="L29" s="990">
        <v>3206241233</v>
      </c>
      <c r="M29" s="1011" t="s">
        <v>407</v>
      </c>
      <c r="N29" s="964" t="s">
        <v>1620</v>
      </c>
      <c r="O29" s="953" t="s">
        <v>1585</v>
      </c>
      <c r="P29" s="953" t="s">
        <v>230</v>
      </c>
      <c r="Q29" s="1003">
        <v>2024</v>
      </c>
      <c r="R29" s="966" t="s">
        <v>166</v>
      </c>
      <c r="S29" s="975" t="s">
        <v>210</v>
      </c>
    </row>
    <row r="30" spans="2:19">
      <c r="B30" s="992">
        <v>3</v>
      </c>
      <c r="C30" s="959" t="s">
        <v>1562</v>
      </c>
      <c r="D30" s="959" t="s">
        <v>151</v>
      </c>
      <c r="E30" s="1013" t="s">
        <v>313</v>
      </c>
      <c r="F30" s="1014" t="s">
        <v>314</v>
      </c>
      <c r="G30" s="1015">
        <v>43632694</v>
      </c>
      <c r="H30" s="959" t="s">
        <v>1191</v>
      </c>
      <c r="I30" s="1016">
        <v>27779</v>
      </c>
      <c r="J30" s="962">
        <v>50</v>
      </c>
      <c r="K30" s="959" t="s">
        <v>56</v>
      </c>
      <c r="L30" s="1014">
        <v>3104651084</v>
      </c>
      <c r="M30" s="1018" t="s">
        <v>315</v>
      </c>
      <c r="N30" s="959" t="s">
        <v>2184</v>
      </c>
      <c r="O30" s="953" t="s">
        <v>333</v>
      </c>
      <c r="P30" s="953" t="s">
        <v>663</v>
      </c>
      <c r="Q30" s="1004">
        <v>2024</v>
      </c>
      <c r="R30" s="966" t="s">
        <v>166</v>
      </c>
      <c r="S30" s="975" t="s">
        <v>210</v>
      </c>
    </row>
    <row r="31" spans="2:19">
      <c r="B31" s="956">
        <v>4</v>
      </c>
      <c r="C31" s="955" t="s">
        <v>1563</v>
      </c>
      <c r="D31" s="955" t="s">
        <v>151</v>
      </c>
      <c r="E31" s="955" t="s">
        <v>419</v>
      </c>
      <c r="F31" s="955" t="s">
        <v>420</v>
      </c>
      <c r="G31" s="956">
        <v>43028278</v>
      </c>
      <c r="H31" s="955" t="s">
        <v>1191</v>
      </c>
      <c r="I31" s="1000">
        <v>22082</v>
      </c>
      <c r="J31" s="956">
        <v>65</v>
      </c>
      <c r="K31" s="955" t="s">
        <v>73</v>
      </c>
      <c r="L31" s="955">
        <v>3147229577</v>
      </c>
      <c r="M31" s="955" t="s">
        <v>421</v>
      </c>
      <c r="N31" s="955" t="s">
        <v>419</v>
      </c>
      <c r="O31" s="955" t="s">
        <v>321</v>
      </c>
      <c r="P31" s="955" t="s">
        <v>230</v>
      </c>
      <c r="Q31" s="1000">
        <v>2005</v>
      </c>
      <c r="R31" s="957" t="s">
        <v>166</v>
      </c>
      <c r="S31" s="971" t="s">
        <v>210</v>
      </c>
    </row>
    <row r="32" spans="2:19">
      <c r="B32" s="956">
        <v>4</v>
      </c>
      <c r="C32" s="955" t="s">
        <v>1563</v>
      </c>
      <c r="D32" s="955" t="s">
        <v>151</v>
      </c>
      <c r="E32" s="955" t="s">
        <v>437</v>
      </c>
      <c r="F32" s="955" t="s">
        <v>447</v>
      </c>
      <c r="G32" s="956">
        <v>3238048296</v>
      </c>
      <c r="H32" s="955" t="s">
        <v>1187</v>
      </c>
      <c r="I32" s="1000">
        <v>31979</v>
      </c>
      <c r="J32" s="956">
        <v>38</v>
      </c>
      <c r="K32" s="955" t="s">
        <v>1588</v>
      </c>
      <c r="L32" s="955">
        <v>3052263621</v>
      </c>
      <c r="M32" s="955" t="s">
        <v>448</v>
      </c>
      <c r="N32" s="955" t="s">
        <v>1626</v>
      </c>
      <c r="O32" s="955" t="s">
        <v>321</v>
      </c>
      <c r="P32" s="955" t="s">
        <v>663</v>
      </c>
      <c r="Q32" s="1000">
        <v>2023</v>
      </c>
      <c r="R32" s="957" t="s">
        <v>166</v>
      </c>
      <c r="S32" s="971" t="s">
        <v>210</v>
      </c>
    </row>
    <row r="33" spans="2:19">
      <c r="B33" s="956">
        <v>4</v>
      </c>
      <c r="C33" s="955" t="s">
        <v>1563</v>
      </c>
      <c r="D33" s="955" t="s">
        <v>151</v>
      </c>
      <c r="E33" s="955" t="s">
        <v>452</v>
      </c>
      <c r="F33" s="955" t="s">
        <v>455</v>
      </c>
      <c r="G33" s="956">
        <v>71790988</v>
      </c>
      <c r="H33" s="955" t="s">
        <v>1187</v>
      </c>
      <c r="I33" s="1000">
        <v>28672</v>
      </c>
      <c r="J33" s="956">
        <v>47</v>
      </c>
      <c r="K33" s="955" t="s">
        <v>1588</v>
      </c>
      <c r="L33" s="955">
        <v>3146464990</v>
      </c>
      <c r="M33" s="955" t="s">
        <v>456</v>
      </c>
      <c r="N33" s="955" t="s">
        <v>1628</v>
      </c>
      <c r="O33" s="955" t="s">
        <v>321</v>
      </c>
      <c r="P33" s="955" t="s">
        <v>1585</v>
      </c>
      <c r="Q33" s="1000">
        <v>2023</v>
      </c>
      <c r="R33" s="957" t="s">
        <v>166</v>
      </c>
      <c r="S33" s="971" t="s">
        <v>210</v>
      </c>
    </row>
    <row r="34" spans="2:19">
      <c r="B34" s="956">
        <v>4</v>
      </c>
      <c r="C34" s="955" t="s">
        <v>1563</v>
      </c>
      <c r="D34" s="955" t="s">
        <v>151</v>
      </c>
      <c r="E34" s="955" t="s">
        <v>472</v>
      </c>
      <c r="F34" s="955" t="s">
        <v>485</v>
      </c>
      <c r="G34" s="956">
        <v>71758085</v>
      </c>
      <c r="H34" s="955" t="s">
        <v>1187</v>
      </c>
      <c r="I34" s="1000">
        <v>30275</v>
      </c>
      <c r="J34" s="956">
        <v>43</v>
      </c>
      <c r="K34" s="955" t="s">
        <v>1588</v>
      </c>
      <c r="L34" s="955">
        <v>3117677185</v>
      </c>
      <c r="M34" s="955" t="s">
        <v>486</v>
      </c>
      <c r="N34" s="955" t="s">
        <v>1625</v>
      </c>
      <c r="O34" s="955" t="s">
        <v>164</v>
      </c>
      <c r="P34" s="955" t="s">
        <v>663</v>
      </c>
      <c r="Q34" s="1000">
        <v>2006</v>
      </c>
      <c r="R34" s="957" t="s">
        <v>166</v>
      </c>
      <c r="S34" s="971" t="s">
        <v>210</v>
      </c>
    </row>
    <row r="35" spans="2:19">
      <c r="B35" s="956">
        <v>4</v>
      </c>
      <c r="C35" s="955" t="s">
        <v>1563</v>
      </c>
      <c r="D35" s="955" t="s">
        <v>151</v>
      </c>
      <c r="E35" s="970" t="s">
        <v>497</v>
      </c>
      <c r="F35" s="970" t="s">
        <v>505</v>
      </c>
      <c r="G35" s="998">
        <v>71629686</v>
      </c>
      <c r="H35" s="955" t="s">
        <v>1187</v>
      </c>
      <c r="I35" s="986">
        <v>23335</v>
      </c>
      <c r="J35" s="956">
        <v>62</v>
      </c>
      <c r="K35" s="955" t="s">
        <v>1588</v>
      </c>
      <c r="L35" s="955">
        <v>3015152462</v>
      </c>
      <c r="M35" s="955" t="s">
        <v>506</v>
      </c>
      <c r="N35" s="955" t="s">
        <v>1631</v>
      </c>
      <c r="O35" s="955" t="s">
        <v>192</v>
      </c>
      <c r="P35" s="955" t="s">
        <v>663</v>
      </c>
      <c r="Q35" s="1000">
        <v>2022</v>
      </c>
      <c r="R35" s="957" t="s">
        <v>166</v>
      </c>
      <c r="S35" s="971" t="s">
        <v>210</v>
      </c>
    </row>
    <row r="36" spans="2:19">
      <c r="B36" s="956">
        <v>4</v>
      </c>
      <c r="C36" s="955" t="s">
        <v>1563</v>
      </c>
      <c r="D36" s="955" t="s">
        <v>151</v>
      </c>
      <c r="E36" s="955" t="s">
        <v>507</v>
      </c>
      <c r="F36" s="955" t="s">
        <v>512</v>
      </c>
      <c r="G36" s="956">
        <v>43043688</v>
      </c>
      <c r="H36" s="955" t="s">
        <v>1191</v>
      </c>
      <c r="I36" s="1000">
        <v>23315</v>
      </c>
      <c r="J36" s="956">
        <v>62</v>
      </c>
      <c r="K36" s="955" t="s">
        <v>1588</v>
      </c>
      <c r="L36" s="955">
        <v>3205813452</v>
      </c>
      <c r="M36" s="955" t="s">
        <v>513</v>
      </c>
      <c r="N36" s="955" t="s">
        <v>1630</v>
      </c>
      <c r="O36" s="955" t="s">
        <v>891</v>
      </c>
      <c r="P36" s="955" t="s">
        <v>170</v>
      </c>
      <c r="Q36" s="1000">
        <v>2023</v>
      </c>
      <c r="R36" s="957" t="s">
        <v>166</v>
      </c>
      <c r="S36" s="971" t="s">
        <v>210</v>
      </c>
    </row>
    <row r="37" spans="2:19">
      <c r="B37" s="994">
        <v>4</v>
      </c>
      <c r="C37" s="953" t="s">
        <v>1563</v>
      </c>
      <c r="D37" s="953" t="s">
        <v>151</v>
      </c>
      <c r="E37" s="953" t="s">
        <v>525</v>
      </c>
      <c r="F37" s="953" t="s">
        <v>526</v>
      </c>
      <c r="G37" s="994">
        <v>435462045</v>
      </c>
      <c r="H37" s="953" t="s">
        <v>1191</v>
      </c>
      <c r="I37" s="1001">
        <v>25334</v>
      </c>
      <c r="J37" s="994">
        <v>57</v>
      </c>
      <c r="K37" s="953" t="s">
        <v>1588</v>
      </c>
      <c r="L37" s="953">
        <v>3148212761</v>
      </c>
      <c r="M37" s="953" t="s">
        <v>527</v>
      </c>
      <c r="N37" s="953" t="s">
        <v>1624</v>
      </c>
      <c r="O37" s="953" t="s">
        <v>164</v>
      </c>
      <c r="P37" s="953" t="s">
        <v>663</v>
      </c>
      <c r="Q37" s="1001">
        <v>2022</v>
      </c>
      <c r="R37" s="971" t="s">
        <v>166</v>
      </c>
      <c r="S37" s="971" t="s">
        <v>210</v>
      </c>
    </row>
    <row r="38" spans="2:19">
      <c r="B38" s="994">
        <v>4</v>
      </c>
      <c r="C38" s="953" t="s">
        <v>1563</v>
      </c>
      <c r="D38" s="953" t="s">
        <v>151</v>
      </c>
      <c r="E38" s="955" t="s">
        <v>538</v>
      </c>
      <c r="F38" s="955" t="s">
        <v>539</v>
      </c>
      <c r="G38" s="956">
        <v>8267773</v>
      </c>
      <c r="H38" s="955" t="s">
        <v>1187</v>
      </c>
      <c r="I38" s="1000">
        <v>16788</v>
      </c>
      <c r="J38" s="994">
        <v>80</v>
      </c>
      <c r="K38" s="953" t="s">
        <v>73</v>
      </c>
      <c r="L38" s="953">
        <v>3127269102</v>
      </c>
      <c r="M38" s="953" t="s">
        <v>540</v>
      </c>
      <c r="N38" s="953" t="s">
        <v>1624</v>
      </c>
      <c r="O38" s="953" t="s">
        <v>164</v>
      </c>
      <c r="P38" s="953" t="s">
        <v>663</v>
      </c>
      <c r="Q38" s="1001">
        <v>2011</v>
      </c>
      <c r="R38" s="971" t="s">
        <v>166</v>
      </c>
      <c r="S38" s="971" t="s">
        <v>210</v>
      </c>
    </row>
    <row r="39" spans="2:19">
      <c r="B39" s="994">
        <v>4</v>
      </c>
      <c r="C39" s="953" t="s">
        <v>1563</v>
      </c>
      <c r="D39" s="953" t="s">
        <v>151</v>
      </c>
      <c r="E39" s="970" t="s">
        <v>554</v>
      </c>
      <c r="F39" s="970" t="s">
        <v>558</v>
      </c>
      <c r="G39" s="998">
        <v>43552520</v>
      </c>
      <c r="H39" s="953" t="s">
        <v>1191</v>
      </c>
      <c r="I39" s="1001"/>
      <c r="J39" s="994"/>
      <c r="K39" s="953" t="s">
        <v>1588</v>
      </c>
      <c r="L39" s="970">
        <v>3005221252</v>
      </c>
      <c r="M39" s="953"/>
      <c r="N39" s="953" t="s">
        <v>554</v>
      </c>
      <c r="O39" s="953"/>
      <c r="P39" s="953"/>
      <c r="Q39" s="1001"/>
      <c r="R39" s="971" t="s">
        <v>166</v>
      </c>
      <c r="S39" s="971" t="s">
        <v>210</v>
      </c>
    </row>
    <row r="40" spans="2:19">
      <c r="B40" s="994">
        <v>4</v>
      </c>
      <c r="C40" s="953" t="s">
        <v>1563</v>
      </c>
      <c r="D40" s="953" t="s">
        <v>151</v>
      </c>
      <c r="E40" s="970" t="s">
        <v>560</v>
      </c>
      <c r="F40" s="970" t="s">
        <v>562</v>
      </c>
      <c r="G40" s="998"/>
      <c r="H40" s="953" t="s">
        <v>1191</v>
      </c>
      <c r="I40" s="1001"/>
      <c r="J40" s="994"/>
      <c r="K40" s="953" t="s">
        <v>1588</v>
      </c>
      <c r="L40" s="970">
        <v>3234590454</v>
      </c>
      <c r="M40" s="970"/>
      <c r="N40" s="953" t="s">
        <v>1629</v>
      </c>
      <c r="O40" s="953"/>
      <c r="P40" s="953"/>
      <c r="Q40" s="1001"/>
      <c r="R40" s="971" t="s">
        <v>166</v>
      </c>
      <c r="S40" s="971" t="s">
        <v>210</v>
      </c>
    </row>
    <row r="41" spans="2:19">
      <c r="B41" s="956">
        <v>4</v>
      </c>
      <c r="C41" s="955" t="s">
        <v>1563</v>
      </c>
      <c r="D41" s="955" t="s">
        <v>151</v>
      </c>
      <c r="E41" s="970" t="s">
        <v>568</v>
      </c>
      <c r="F41" s="970" t="s">
        <v>573</v>
      </c>
      <c r="G41" s="956"/>
      <c r="H41" s="953" t="s">
        <v>1187</v>
      </c>
      <c r="I41" s="1000"/>
      <c r="J41" s="956">
        <v>126</v>
      </c>
      <c r="K41" s="955" t="s">
        <v>1588</v>
      </c>
      <c r="L41" s="970">
        <v>3045331330</v>
      </c>
      <c r="M41" s="955"/>
      <c r="N41" s="955" t="s">
        <v>568</v>
      </c>
      <c r="O41" s="955"/>
      <c r="P41" s="955"/>
      <c r="Q41" s="1000"/>
      <c r="R41" s="957" t="s">
        <v>166</v>
      </c>
      <c r="S41" s="971" t="s">
        <v>210</v>
      </c>
    </row>
    <row r="42" spans="2:19">
      <c r="B42" s="956">
        <v>4</v>
      </c>
      <c r="C42" s="955" t="s">
        <v>1563</v>
      </c>
      <c r="D42" s="955" t="s">
        <v>151</v>
      </c>
      <c r="E42" s="970" t="s">
        <v>584</v>
      </c>
      <c r="F42" s="970" t="s">
        <v>585</v>
      </c>
      <c r="G42" s="956"/>
      <c r="H42" s="953" t="s">
        <v>1191</v>
      </c>
      <c r="I42" s="1000"/>
      <c r="J42" s="956"/>
      <c r="K42" s="955" t="s">
        <v>1588</v>
      </c>
      <c r="L42" s="970">
        <v>3108422088</v>
      </c>
      <c r="M42" s="955"/>
      <c r="N42" s="955" t="s">
        <v>1626</v>
      </c>
      <c r="O42" s="955"/>
      <c r="P42" s="955"/>
      <c r="Q42" s="986">
        <v>2024</v>
      </c>
      <c r="R42" s="957" t="s">
        <v>160</v>
      </c>
      <c r="S42" s="971" t="s">
        <v>210</v>
      </c>
    </row>
    <row r="43" spans="2:19">
      <c r="B43" s="956">
        <v>4</v>
      </c>
      <c r="C43" s="955" t="s">
        <v>1563</v>
      </c>
      <c r="D43" s="955" t="s">
        <v>151</v>
      </c>
      <c r="E43" s="970" t="s">
        <v>591</v>
      </c>
      <c r="F43" s="970" t="s">
        <v>594</v>
      </c>
      <c r="G43" s="956"/>
      <c r="H43" s="953" t="s">
        <v>1191</v>
      </c>
      <c r="I43" s="1000"/>
      <c r="J43" s="956"/>
      <c r="K43" s="955" t="s">
        <v>1588</v>
      </c>
      <c r="L43" s="970">
        <v>3206603458</v>
      </c>
      <c r="M43" s="955"/>
      <c r="N43" s="955" t="s">
        <v>591</v>
      </c>
      <c r="O43" s="955"/>
      <c r="P43" s="955"/>
      <c r="Q43" s="986">
        <v>2024</v>
      </c>
      <c r="R43" s="957" t="s">
        <v>166</v>
      </c>
      <c r="S43" s="971" t="s">
        <v>210</v>
      </c>
    </row>
    <row r="44" spans="2:19">
      <c r="B44" s="956">
        <v>4</v>
      </c>
      <c r="C44" s="955" t="s">
        <v>1563</v>
      </c>
      <c r="D44" s="955" t="s">
        <v>151</v>
      </c>
      <c r="E44" s="972" t="s">
        <v>598</v>
      </c>
      <c r="F44" s="972" t="s">
        <v>605</v>
      </c>
      <c r="G44" s="999">
        <v>32539148</v>
      </c>
      <c r="H44" s="953" t="s">
        <v>1191</v>
      </c>
      <c r="I44" s="1000"/>
      <c r="J44" s="956"/>
      <c r="K44" s="955" t="s">
        <v>56</v>
      </c>
      <c r="L44" s="972">
        <v>3117082987</v>
      </c>
      <c r="M44" s="972" t="s">
        <v>606</v>
      </c>
      <c r="N44" s="955" t="s">
        <v>1624</v>
      </c>
      <c r="O44" s="955" t="s">
        <v>876</v>
      </c>
      <c r="P44" s="955" t="s">
        <v>663</v>
      </c>
      <c r="Q44" s="1005">
        <v>2024</v>
      </c>
      <c r="R44" s="957" t="s">
        <v>166</v>
      </c>
      <c r="S44" s="971" t="s">
        <v>210</v>
      </c>
    </row>
    <row r="45" spans="2:19">
      <c r="B45" s="956">
        <v>4</v>
      </c>
      <c r="C45" s="955" t="s">
        <v>1563</v>
      </c>
      <c r="D45" s="955" t="s">
        <v>151</v>
      </c>
      <c r="E45" s="970" t="s">
        <v>610</v>
      </c>
      <c r="F45" s="970" t="s">
        <v>611</v>
      </c>
      <c r="G45" s="956"/>
      <c r="H45" s="953" t="s">
        <v>1191</v>
      </c>
      <c r="I45" s="1000"/>
      <c r="J45" s="956"/>
      <c r="K45" s="955" t="s">
        <v>1588</v>
      </c>
      <c r="L45" s="970">
        <v>3043728329</v>
      </c>
      <c r="M45" s="970" t="s">
        <v>612</v>
      </c>
      <c r="N45" s="955" t="s">
        <v>1626</v>
      </c>
      <c r="O45" s="955"/>
      <c r="P45" s="955"/>
      <c r="Q45" s="986">
        <v>2024</v>
      </c>
      <c r="R45" s="957" t="s">
        <v>166</v>
      </c>
      <c r="S45" s="971" t="s">
        <v>210</v>
      </c>
    </row>
    <row r="46" spans="2:19">
      <c r="B46" s="980">
        <v>5</v>
      </c>
      <c r="C46" s="977" t="s">
        <v>1564</v>
      </c>
      <c r="D46" s="977" t="s">
        <v>129</v>
      </c>
      <c r="E46" s="978" t="s">
        <v>618</v>
      </c>
      <c r="F46" s="978" t="s">
        <v>619</v>
      </c>
      <c r="G46" s="980">
        <v>43524210</v>
      </c>
      <c r="H46" s="979" t="s">
        <v>1191</v>
      </c>
      <c r="I46" s="1002">
        <v>23588</v>
      </c>
      <c r="J46" s="980">
        <f t="shared" ref="J46" ca="1" si="0">DATEDIF(I46,TODAY(),"Y")</f>
        <v>61</v>
      </c>
      <c r="K46" s="977" t="s">
        <v>1588</v>
      </c>
      <c r="L46" s="978">
        <v>3148770934</v>
      </c>
      <c r="M46" s="977" t="s">
        <v>620</v>
      </c>
      <c r="N46" s="977" t="s">
        <v>1634</v>
      </c>
      <c r="O46" s="977" t="s">
        <v>164</v>
      </c>
      <c r="P46" s="977" t="s">
        <v>663</v>
      </c>
      <c r="Q46" s="1006">
        <v>2009</v>
      </c>
      <c r="R46" s="981" t="s">
        <v>166</v>
      </c>
      <c r="S46" s="982" t="s">
        <v>210</v>
      </c>
    </row>
    <row r="47" spans="2:19">
      <c r="B47" s="980">
        <v>6</v>
      </c>
      <c r="C47" s="977" t="s">
        <v>1565</v>
      </c>
      <c r="D47" s="977" t="s">
        <v>129</v>
      </c>
      <c r="E47" s="978" t="s">
        <v>637</v>
      </c>
      <c r="F47" s="978" t="s">
        <v>638</v>
      </c>
      <c r="G47" s="980">
        <v>1045047257</v>
      </c>
      <c r="H47" s="979" t="s">
        <v>1187</v>
      </c>
      <c r="I47" s="1002">
        <v>32435</v>
      </c>
      <c r="J47" s="980">
        <v>37</v>
      </c>
      <c r="K47" s="977" t="s">
        <v>1588</v>
      </c>
      <c r="L47" s="978">
        <v>3003192315</v>
      </c>
      <c r="M47" s="977" t="s">
        <v>639</v>
      </c>
      <c r="N47" s="977" t="s">
        <v>637</v>
      </c>
      <c r="O47" s="977" t="s">
        <v>321</v>
      </c>
      <c r="P47" s="977" t="s">
        <v>663</v>
      </c>
      <c r="Q47" s="1006">
        <v>2007</v>
      </c>
      <c r="R47" s="981" t="s">
        <v>166</v>
      </c>
      <c r="S47" s="982" t="s">
        <v>210</v>
      </c>
    </row>
    <row r="48" spans="2:19">
      <c r="B48" s="956">
        <v>6</v>
      </c>
      <c r="C48" s="983" t="s">
        <v>1565</v>
      </c>
      <c r="D48" s="955" t="s">
        <v>129</v>
      </c>
      <c r="E48" s="970" t="s">
        <v>642</v>
      </c>
      <c r="F48" s="970" t="s">
        <v>643</v>
      </c>
      <c r="G48" s="956">
        <v>43279548</v>
      </c>
      <c r="H48" s="953" t="s">
        <v>1191</v>
      </c>
      <c r="I48" s="1000">
        <v>29857</v>
      </c>
      <c r="J48" s="956">
        <v>44</v>
      </c>
      <c r="K48" s="955" t="s">
        <v>1588</v>
      </c>
      <c r="L48" s="970">
        <v>3108398626</v>
      </c>
      <c r="M48" s="955" t="s">
        <v>644</v>
      </c>
      <c r="N48" s="955" t="s">
        <v>1651</v>
      </c>
      <c r="O48" s="955" t="s">
        <v>192</v>
      </c>
      <c r="P48" s="955" t="s">
        <v>663</v>
      </c>
      <c r="Q48" s="986">
        <v>2009</v>
      </c>
      <c r="R48" s="957" t="s">
        <v>166</v>
      </c>
      <c r="S48" s="982" t="s">
        <v>210</v>
      </c>
    </row>
    <row r="49" spans="2:19">
      <c r="B49" s="956">
        <v>7</v>
      </c>
      <c r="C49" s="955" t="s">
        <v>1566</v>
      </c>
      <c r="D49" s="955" t="s">
        <v>129</v>
      </c>
      <c r="E49" s="970" t="s">
        <v>659</v>
      </c>
      <c r="F49" s="970" t="s">
        <v>682</v>
      </c>
      <c r="G49" s="956">
        <v>43086791</v>
      </c>
      <c r="H49" s="955" t="s">
        <v>1191</v>
      </c>
      <c r="I49" s="1000">
        <v>24050</v>
      </c>
      <c r="J49" s="956">
        <v>60</v>
      </c>
      <c r="K49" s="955" t="s">
        <v>1588</v>
      </c>
      <c r="L49" s="970">
        <v>3103956080</v>
      </c>
      <c r="M49" s="955" t="s">
        <v>660</v>
      </c>
      <c r="N49" s="955" t="s">
        <v>1669</v>
      </c>
      <c r="O49" s="955" t="s">
        <v>333</v>
      </c>
      <c r="P49" s="955" t="s">
        <v>461</v>
      </c>
      <c r="Q49" s="986"/>
      <c r="R49" s="957" t="s">
        <v>166</v>
      </c>
      <c r="S49" s="982" t="s">
        <v>210</v>
      </c>
    </row>
    <row r="50" spans="2:19">
      <c r="B50" s="956">
        <v>7</v>
      </c>
      <c r="C50" s="955" t="s">
        <v>1566</v>
      </c>
      <c r="D50" s="955" t="s">
        <v>151</v>
      </c>
      <c r="E50" s="970" t="s">
        <v>2294</v>
      </c>
      <c r="F50" s="970" t="s">
        <v>680</v>
      </c>
      <c r="G50" s="956">
        <v>1000395597</v>
      </c>
      <c r="H50" s="955" t="s">
        <v>1187</v>
      </c>
      <c r="I50" s="1000"/>
      <c r="J50" s="956"/>
      <c r="K50" s="955" t="s">
        <v>1588</v>
      </c>
      <c r="L50" s="970" t="s">
        <v>681</v>
      </c>
      <c r="M50" s="955" t="s">
        <v>2348</v>
      </c>
      <c r="N50" s="955"/>
      <c r="O50" s="955" t="s">
        <v>164</v>
      </c>
      <c r="P50" s="955" t="s">
        <v>663</v>
      </c>
      <c r="Q50" s="986"/>
      <c r="R50" s="957" t="s">
        <v>166</v>
      </c>
      <c r="S50" s="982" t="s">
        <v>210</v>
      </c>
    </row>
    <row r="51" spans="2:19">
      <c r="B51" s="956">
        <v>7</v>
      </c>
      <c r="C51" s="955" t="s">
        <v>1566</v>
      </c>
      <c r="D51" s="955" t="s">
        <v>151</v>
      </c>
      <c r="E51" s="970" t="s">
        <v>687</v>
      </c>
      <c r="F51" s="970" t="s">
        <v>695</v>
      </c>
      <c r="G51" s="956">
        <v>43257302</v>
      </c>
      <c r="H51" s="955" t="s">
        <v>1191</v>
      </c>
      <c r="I51" s="1000"/>
      <c r="J51" s="956"/>
      <c r="K51" s="955" t="s">
        <v>1588</v>
      </c>
      <c r="L51" s="970">
        <v>3243372931</v>
      </c>
      <c r="M51" s="955"/>
      <c r="N51" s="955"/>
      <c r="O51" s="955"/>
      <c r="P51" s="955" t="s">
        <v>1585</v>
      </c>
      <c r="Q51" s="986"/>
      <c r="R51" s="957" t="s">
        <v>166</v>
      </c>
      <c r="S51" s="982" t="s">
        <v>210</v>
      </c>
    </row>
    <row r="52" spans="2:19">
      <c r="B52" s="956">
        <v>7</v>
      </c>
      <c r="C52" s="955" t="s">
        <v>1566</v>
      </c>
      <c r="D52" s="955" t="s">
        <v>151</v>
      </c>
      <c r="E52" s="970" t="s">
        <v>2295</v>
      </c>
      <c r="F52" s="970" t="s">
        <v>701</v>
      </c>
      <c r="G52" s="956">
        <v>43451927</v>
      </c>
      <c r="H52" s="955" t="s">
        <v>1191</v>
      </c>
      <c r="I52" s="1000">
        <v>24136</v>
      </c>
      <c r="J52" s="956">
        <v>60</v>
      </c>
      <c r="K52" s="955" t="s">
        <v>1588</v>
      </c>
      <c r="L52" s="970"/>
      <c r="M52" s="955" t="s">
        <v>2349</v>
      </c>
      <c r="N52" s="955"/>
      <c r="O52" s="955"/>
      <c r="P52" s="955" t="s">
        <v>1585</v>
      </c>
      <c r="Q52" s="986"/>
      <c r="R52" s="957" t="s">
        <v>166</v>
      </c>
      <c r="S52" s="982" t="s">
        <v>210</v>
      </c>
    </row>
    <row r="53" spans="2:19">
      <c r="B53" s="956">
        <v>7</v>
      </c>
      <c r="C53" s="955" t="s">
        <v>1566</v>
      </c>
      <c r="D53" s="955" t="s">
        <v>151</v>
      </c>
      <c r="E53" s="970" t="s">
        <v>2292</v>
      </c>
      <c r="F53" s="970" t="s">
        <v>716</v>
      </c>
      <c r="G53" s="956">
        <v>43596547</v>
      </c>
      <c r="H53" s="955" t="s">
        <v>1191</v>
      </c>
      <c r="I53" s="1000">
        <v>27568</v>
      </c>
      <c r="J53" s="956">
        <v>50</v>
      </c>
      <c r="K53" s="955" t="s">
        <v>1588</v>
      </c>
      <c r="L53" s="970">
        <v>3043493116</v>
      </c>
      <c r="M53" s="955" t="s">
        <v>2350</v>
      </c>
      <c r="N53" s="955"/>
      <c r="O53" s="955"/>
      <c r="P53" s="955" t="s">
        <v>1585</v>
      </c>
      <c r="Q53" s="986"/>
      <c r="R53" s="957" t="s">
        <v>166</v>
      </c>
      <c r="S53" s="982" t="s">
        <v>210</v>
      </c>
    </row>
    <row r="54" spans="2:19">
      <c r="B54" s="956">
        <v>7</v>
      </c>
      <c r="C54" s="955" t="s">
        <v>1566</v>
      </c>
      <c r="D54" s="955" t="s">
        <v>129</v>
      </c>
      <c r="E54" s="970" t="s">
        <v>2293</v>
      </c>
      <c r="F54" s="970" t="s">
        <v>725</v>
      </c>
      <c r="G54" s="956">
        <v>71671173</v>
      </c>
      <c r="H54" s="955" t="s">
        <v>1187</v>
      </c>
      <c r="I54" s="1000"/>
      <c r="J54" s="956"/>
      <c r="K54" s="955" t="s">
        <v>1588</v>
      </c>
      <c r="L54" s="970">
        <v>3113250200</v>
      </c>
      <c r="M54" s="955" t="s">
        <v>2351</v>
      </c>
      <c r="N54" s="955"/>
      <c r="O54" s="955"/>
      <c r="P54" s="955" t="s">
        <v>1585</v>
      </c>
      <c r="Q54" s="986"/>
      <c r="R54" s="957" t="s">
        <v>166</v>
      </c>
      <c r="S54" s="982" t="s">
        <v>210</v>
      </c>
    </row>
    <row r="55" spans="2:19">
      <c r="B55" s="956">
        <v>7</v>
      </c>
      <c r="C55" s="955" t="s">
        <v>1566</v>
      </c>
      <c r="D55" s="955" t="s">
        <v>151</v>
      </c>
      <c r="E55" s="970" t="s">
        <v>2296</v>
      </c>
      <c r="F55" s="970" t="s">
        <v>728</v>
      </c>
      <c r="G55" s="956">
        <v>43112339</v>
      </c>
      <c r="H55" s="955" t="s">
        <v>1191</v>
      </c>
      <c r="I55" s="1000"/>
      <c r="J55" s="956"/>
      <c r="K55" s="955" t="s">
        <v>1588</v>
      </c>
      <c r="L55" s="970"/>
      <c r="M55" s="955"/>
      <c r="N55" s="955"/>
      <c r="O55" s="955"/>
      <c r="P55" s="955" t="s">
        <v>1585</v>
      </c>
      <c r="Q55" s="986"/>
      <c r="R55" s="957" t="s">
        <v>166</v>
      </c>
      <c r="S55" s="982" t="s">
        <v>210</v>
      </c>
    </row>
    <row r="56" spans="2:19">
      <c r="B56" s="956">
        <v>7</v>
      </c>
      <c r="C56" s="955" t="s">
        <v>1566</v>
      </c>
      <c r="D56" s="955" t="s">
        <v>151</v>
      </c>
      <c r="E56" s="970" t="s">
        <v>2297</v>
      </c>
      <c r="F56" s="970" t="s">
        <v>1554</v>
      </c>
      <c r="G56" s="956">
        <v>71792953</v>
      </c>
      <c r="H56" s="955" t="s">
        <v>1187</v>
      </c>
      <c r="I56" s="1000"/>
      <c r="J56" s="956"/>
      <c r="K56" s="955" t="s">
        <v>1588</v>
      </c>
      <c r="L56" s="970"/>
      <c r="M56" s="955"/>
      <c r="N56" s="955"/>
      <c r="O56" s="955"/>
      <c r="P56" s="955" t="s">
        <v>1585</v>
      </c>
      <c r="Q56" s="986"/>
      <c r="R56" s="957" t="s">
        <v>166</v>
      </c>
      <c r="S56" s="982" t="s">
        <v>210</v>
      </c>
    </row>
    <row r="57" spans="2:19">
      <c r="B57" s="956">
        <v>7</v>
      </c>
      <c r="C57" s="955" t="s">
        <v>1566</v>
      </c>
      <c r="D57" s="955" t="s">
        <v>151</v>
      </c>
      <c r="E57" s="970" t="s">
        <v>2299</v>
      </c>
      <c r="F57" s="970" t="s">
        <v>715</v>
      </c>
      <c r="G57" s="956">
        <v>43266483</v>
      </c>
      <c r="H57" s="955" t="s">
        <v>1191</v>
      </c>
      <c r="I57" s="1000"/>
      <c r="J57" s="956"/>
      <c r="K57" s="955" t="s">
        <v>1588</v>
      </c>
      <c r="L57" s="970"/>
      <c r="M57" s="955"/>
      <c r="N57" s="955"/>
      <c r="O57" s="955"/>
      <c r="P57" s="955" t="s">
        <v>1585</v>
      </c>
      <c r="Q57" s="986"/>
      <c r="R57" s="957" t="s">
        <v>166</v>
      </c>
      <c r="S57" s="982" t="s">
        <v>210</v>
      </c>
    </row>
    <row r="58" spans="2:19">
      <c r="B58" s="956">
        <v>7</v>
      </c>
      <c r="C58" s="955" t="s">
        <v>1566</v>
      </c>
      <c r="D58" s="955" t="s">
        <v>151</v>
      </c>
      <c r="E58" s="970" t="s">
        <v>2300</v>
      </c>
      <c r="F58" s="970" t="s">
        <v>748</v>
      </c>
      <c r="G58" s="956">
        <v>43562625</v>
      </c>
      <c r="H58" s="955" t="s">
        <v>1191</v>
      </c>
      <c r="I58" s="1000"/>
      <c r="J58" s="956"/>
      <c r="K58" s="955" t="s">
        <v>1588</v>
      </c>
      <c r="L58" s="970"/>
      <c r="M58" s="955"/>
      <c r="N58" s="955"/>
      <c r="O58" s="955"/>
      <c r="P58" s="955" t="s">
        <v>1585</v>
      </c>
      <c r="Q58" s="986"/>
      <c r="R58" s="957" t="s">
        <v>166</v>
      </c>
      <c r="S58" s="982" t="s">
        <v>210</v>
      </c>
    </row>
    <row r="59" spans="2:19">
      <c r="B59" s="956">
        <v>7</v>
      </c>
      <c r="C59" s="955" t="s">
        <v>1566</v>
      </c>
      <c r="D59" s="955" t="s">
        <v>151</v>
      </c>
      <c r="E59" s="970" t="s">
        <v>2302</v>
      </c>
      <c r="F59" s="970" t="s">
        <v>762</v>
      </c>
      <c r="G59" s="956">
        <v>42991952</v>
      </c>
      <c r="H59" s="955" t="s">
        <v>1191</v>
      </c>
      <c r="I59" s="1000"/>
      <c r="J59" s="956"/>
      <c r="K59" s="955" t="s">
        <v>1588</v>
      </c>
      <c r="L59" s="970"/>
      <c r="M59" s="955"/>
      <c r="N59" s="955"/>
      <c r="O59" s="955"/>
      <c r="P59" s="955" t="s">
        <v>1585</v>
      </c>
      <c r="Q59" s="986"/>
      <c r="R59" s="957" t="s">
        <v>166</v>
      </c>
      <c r="S59" s="982" t="s">
        <v>210</v>
      </c>
    </row>
    <row r="60" spans="2:19">
      <c r="B60" s="956">
        <v>7</v>
      </c>
      <c r="C60" s="955" t="s">
        <v>1566</v>
      </c>
      <c r="D60" s="955" t="s">
        <v>151</v>
      </c>
      <c r="E60" s="970" t="s">
        <v>2303</v>
      </c>
      <c r="F60" s="970" t="s">
        <v>767</v>
      </c>
      <c r="G60" s="956">
        <v>71617408</v>
      </c>
      <c r="H60" s="955" t="s">
        <v>1187</v>
      </c>
      <c r="I60" s="1000"/>
      <c r="J60" s="956"/>
      <c r="K60" s="955" t="s">
        <v>1588</v>
      </c>
      <c r="L60" s="970"/>
      <c r="M60" s="955"/>
      <c r="N60" s="955"/>
      <c r="O60" s="955"/>
      <c r="P60" s="955" t="s">
        <v>1585</v>
      </c>
      <c r="Q60" s="986"/>
      <c r="R60" s="957" t="s">
        <v>166</v>
      </c>
      <c r="S60" s="982" t="s">
        <v>210</v>
      </c>
    </row>
    <row r="61" spans="2:19">
      <c r="B61" s="956">
        <v>7</v>
      </c>
      <c r="C61" s="955" t="s">
        <v>1566</v>
      </c>
      <c r="D61" s="955" t="s">
        <v>151</v>
      </c>
      <c r="E61" s="970" t="s">
        <v>2304</v>
      </c>
      <c r="F61" s="970" t="s">
        <v>769</v>
      </c>
      <c r="G61" s="956">
        <v>1001022625</v>
      </c>
      <c r="H61" s="955" t="s">
        <v>1187</v>
      </c>
      <c r="I61" s="1000"/>
      <c r="J61" s="956"/>
      <c r="K61" s="955" t="s">
        <v>1588</v>
      </c>
      <c r="L61" s="970"/>
      <c r="M61" s="955"/>
      <c r="N61" s="955"/>
      <c r="O61" s="955"/>
      <c r="P61" s="955" t="s">
        <v>1585</v>
      </c>
      <c r="Q61" s="986"/>
      <c r="R61" s="957" t="s">
        <v>166</v>
      </c>
      <c r="S61" s="982" t="s">
        <v>210</v>
      </c>
    </row>
    <row r="62" spans="2:19">
      <c r="B62" s="956">
        <v>7</v>
      </c>
      <c r="C62" s="955" t="s">
        <v>1566</v>
      </c>
      <c r="D62" s="955" t="s">
        <v>151</v>
      </c>
      <c r="E62" s="970" t="s">
        <v>2306</v>
      </c>
      <c r="F62" s="970" t="s">
        <v>2352</v>
      </c>
      <c r="G62" s="956"/>
      <c r="H62" s="955" t="s">
        <v>1191</v>
      </c>
      <c r="I62" s="1000"/>
      <c r="J62" s="956"/>
      <c r="K62" s="955" t="s">
        <v>1588</v>
      </c>
      <c r="L62" s="970"/>
      <c r="M62" s="955"/>
      <c r="N62" s="955"/>
      <c r="O62" s="955"/>
      <c r="P62" s="955" t="s">
        <v>1585</v>
      </c>
      <c r="Q62" s="986"/>
      <c r="R62" s="957" t="s">
        <v>166</v>
      </c>
      <c r="S62" s="982" t="s">
        <v>210</v>
      </c>
    </row>
    <row r="63" spans="2:19">
      <c r="B63" s="956">
        <v>7</v>
      </c>
      <c r="C63" s="955" t="s">
        <v>1566</v>
      </c>
      <c r="D63" s="955" t="s">
        <v>151</v>
      </c>
      <c r="E63" s="970" t="s">
        <v>2307</v>
      </c>
      <c r="F63" s="970" t="s">
        <v>784</v>
      </c>
      <c r="G63" s="956">
        <v>325244110</v>
      </c>
      <c r="H63" s="955" t="s">
        <v>1191</v>
      </c>
      <c r="I63" s="1000"/>
      <c r="J63" s="956"/>
      <c r="K63" s="955" t="s">
        <v>1588</v>
      </c>
      <c r="L63" s="970"/>
      <c r="M63" s="955"/>
      <c r="N63" s="955"/>
      <c r="O63" s="955"/>
      <c r="P63" s="955" t="s">
        <v>1585</v>
      </c>
      <c r="Q63" s="986"/>
      <c r="R63" s="957" t="s">
        <v>166</v>
      </c>
      <c r="S63" s="982" t="s">
        <v>210</v>
      </c>
    </row>
    <row r="64" spans="2:19">
      <c r="B64" s="956">
        <v>7</v>
      </c>
      <c r="C64" s="955" t="s">
        <v>1566</v>
      </c>
      <c r="D64" s="955" t="s">
        <v>151</v>
      </c>
      <c r="E64" s="970" t="s">
        <v>2308</v>
      </c>
      <c r="F64" s="970" t="s">
        <v>787</v>
      </c>
      <c r="G64" s="956">
        <v>43657147</v>
      </c>
      <c r="H64" s="955" t="s">
        <v>1191</v>
      </c>
      <c r="I64" s="1000"/>
      <c r="J64" s="956"/>
      <c r="K64" s="955" t="s">
        <v>1588</v>
      </c>
      <c r="L64" s="970"/>
      <c r="M64" s="955"/>
      <c r="N64" s="955"/>
      <c r="O64" s="955"/>
      <c r="P64" s="955" t="s">
        <v>1585</v>
      </c>
      <c r="Q64" s="986"/>
      <c r="R64" s="957" t="s">
        <v>166</v>
      </c>
      <c r="S64" s="982" t="s">
        <v>210</v>
      </c>
    </row>
    <row r="65" spans="2:19">
      <c r="B65" s="956">
        <v>7</v>
      </c>
      <c r="C65" s="955" t="s">
        <v>1566</v>
      </c>
      <c r="D65" s="955" t="s">
        <v>151</v>
      </c>
      <c r="E65" s="970" t="s">
        <v>2309</v>
      </c>
      <c r="F65" s="970" t="s">
        <v>1556</v>
      </c>
      <c r="G65" s="956">
        <v>42962054</v>
      </c>
      <c r="H65" s="955" t="s">
        <v>1191</v>
      </c>
      <c r="I65" s="1000"/>
      <c r="J65" s="956"/>
      <c r="K65" s="955" t="s">
        <v>1588</v>
      </c>
      <c r="L65" s="970"/>
      <c r="M65" s="955"/>
      <c r="N65" s="955" t="s">
        <v>1670</v>
      </c>
      <c r="O65" s="955"/>
      <c r="P65" s="955" t="s">
        <v>1585</v>
      </c>
      <c r="Q65" s="986"/>
      <c r="R65" s="957" t="s">
        <v>166</v>
      </c>
      <c r="S65" s="982" t="s">
        <v>210</v>
      </c>
    </row>
    <row r="66" spans="2:19">
      <c r="B66" s="956">
        <v>7</v>
      </c>
      <c r="C66" s="955" t="s">
        <v>1566</v>
      </c>
      <c r="D66" s="955" t="s">
        <v>129</v>
      </c>
      <c r="E66" s="970" t="s">
        <v>1668</v>
      </c>
      <c r="F66" s="970" t="s">
        <v>806</v>
      </c>
      <c r="G66" s="956"/>
      <c r="H66" s="955" t="s">
        <v>1187</v>
      </c>
      <c r="I66" s="1000"/>
      <c r="J66" s="956"/>
      <c r="K66" s="955" t="s">
        <v>1588</v>
      </c>
      <c r="L66" s="970">
        <v>3156320270</v>
      </c>
      <c r="M66" s="955"/>
      <c r="N66" s="955" t="s">
        <v>1669</v>
      </c>
      <c r="O66" s="955"/>
      <c r="P66" s="955" t="s">
        <v>1585</v>
      </c>
      <c r="Q66" s="986"/>
      <c r="R66" s="957" t="s">
        <v>166</v>
      </c>
      <c r="S66" s="987" t="s">
        <v>210</v>
      </c>
    </row>
    <row r="67" spans="2:19">
      <c r="B67" s="956">
        <v>8</v>
      </c>
      <c r="C67" s="955" t="s">
        <v>1567</v>
      </c>
      <c r="D67" s="955" t="s">
        <v>129</v>
      </c>
      <c r="E67" s="970" t="s">
        <v>807</v>
      </c>
      <c r="F67" s="970" t="s">
        <v>820</v>
      </c>
      <c r="G67" s="956">
        <v>1025766832</v>
      </c>
      <c r="H67" s="955" t="s">
        <v>1187</v>
      </c>
      <c r="I67" s="1000">
        <v>40200</v>
      </c>
      <c r="J67" s="956">
        <v>16</v>
      </c>
      <c r="K67" s="955" t="s">
        <v>1588</v>
      </c>
      <c r="L67" s="970">
        <v>3026045007</v>
      </c>
      <c r="M67" s="955" t="s">
        <v>821</v>
      </c>
      <c r="N67" s="955" t="s">
        <v>807</v>
      </c>
      <c r="O67" s="955" t="s">
        <v>192</v>
      </c>
      <c r="P67" s="955" t="s">
        <v>663</v>
      </c>
      <c r="Q67" s="986"/>
      <c r="R67" s="957" t="s">
        <v>166</v>
      </c>
      <c r="S67" s="982" t="s">
        <v>210</v>
      </c>
    </row>
    <row r="68" spans="2:19">
      <c r="B68" s="956">
        <v>8</v>
      </c>
      <c r="C68" s="955" t="s">
        <v>1567</v>
      </c>
      <c r="D68" s="955" t="s">
        <v>129</v>
      </c>
      <c r="E68" s="970" t="s">
        <v>822</v>
      </c>
      <c r="F68" s="970" t="s">
        <v>823</v>
      </c>
      <c r="G68" s="956">
        <v>71611347</v>
      </c>
      <c r="H68" s="955" t="s">
        <v>1187</v>
      </c>
      <c r="I68" s="1000"/>
      <c r="J68" s="956"/>
      <c r="K68" s="955" t="s">
        <v>1588</v>
      </c>
      <c r="L68" s="970">
        <v>3044671173</v>
      </c>
      <c r="M68" s="955"/>
      <c r="N68" s="955" t="s">
        <v>807</v>
      </c>
      <c r="O68" s="955" t="s">
        <v>1585</v>
      </c>
      <c r="P68" s="955" t="s">
        <v>663</v>
      </c>
      <c r="Q68" s="986"/>
      <c r="R68" s="957" t="s">
        <v>166</v>
      </c>
      <c r="S68" s="982" t="s">
        <v>210</v>
      </c>
    </row>
    <row r="69" spans="2:19">
      <c r="B69" s="956">
        <v>8</v>
      </c>
      <c r="C69" s="955" t="s">
        <v>1567</v>
      </c>
      <c r="D69" s="955" t="s">
        <v>129</v>
      </c>
      <c r="E69" s="970" t="s">
        <v>826</v>
      </c>
      <c r="F69" s="970" t="s">
        <v>829</v>
      </c>
      <c r="G69" s="956">
        <v>43542313</v>
      </c>
      <c r="H69" s="955" t="s">
        <v>1191</v>
      </c>
      <c r="I69" s="1000">
        <v>25420</v>
      </c>
      <c r="J69" s="956">
        <v>56</v>
      </c>
      <c r="K69" s="955" t="s">
        <v>1588</v>
      </c>
      <c r="L69" s="970">
        <v>3315171672</v>
      </c>
      <c r="M69" s="955" t="s">
        <v>830</v>
      </c>
      <c r="N69" s="955" t="s">
        <v>813</v>
      </c>
      <c r="O69" s="955" t="s">
        <v>164</v>
      </c>
      <c r="P69" s="955" t="s">
        <v>193</v>
      </c>
      <c r="Q69" s="986"/>
      <c r="R69" s="957" t="s">
        <v>166</v>
      </c>
      <c r="S69" s="982" t="s">
        <v>210</v>
      </c>
    </row>
    <row r="70" spans="2:19">
      <c r="B70" s="956">
        <v>8</v>
      </c>
      <c r="C70" s="955" t="s">
        <v>1567</v>
      </c>
      <c r="D70" s="955" t="s">
        <v>151</v>
      </c>
      <c r="E70" s="970" t="s">
        <v>863</v>
      </c>
      <c r="F70" s="970" t="s">
        <v>2353</v>
      </c>
      <c r="G70" s="956">
        <v>3349753</v>
      </c>
      <c r="H70" s="955" t="s">
        <v>1187</v>
      </c>
      <c r="I70" s="1000"/>
      <c r="J70" s="956"/>
      <c r="K70" s="955" t="s">
        <v>1588</v>
      </c>
      <c r="L70" s="970">
        <v>3016953352</v>
      </c>
      <c r="M70" s="955"/>
      <c r="N70" s="955" t="s">
        <v>1679</v>
      </c>
      <c r="O70" s="955" t="s">
        <v>1585</v>
      </c>
      <c r="P70" s="955" t="s">
        <v>1585</v>
      </c>
      <c r="Q70" s="986"/>
      <c r="R70" s="957" t="s">
        <v>166</v>
      </c>
      <c r="S70" s="982" t="s">
        <v>210</v>
      </c>
    </row>
    <row r="71" spans="2:19">
      <c r="B71" s="956">
        <v>8</v>
      </c>
      <c r="C71" s="955" t="s">
        <v>1567</v>
      </c>
      <c r="D71" s="955" t="s">
        <v>151</v>
      </c>
      <c r="E71" s="970" t="s">
        <v>864</v>
      </c>
      <c r="F71" s="970" t="s">
        <v>2354</v>
      </c>
      <c r="G71" s="956">
        <v>15457046</v>
      </c>
      <c r="H71" s="955" t="s">
        <v>1187</v>
      </c>
      <c r="I71" s="1000"/>
      <c r="J71" s="956"/>
      <c r="K71" s="955" t="s">
        <v>1588</v>
      </c>
      <c r="L71" s="970">
        <v>3015157607</v>
      </c>
      <c r="M71" s="955"/>
      <c r="N71" s="955" t="s">
        <v>864</v>
      </c>
      <c r="O71" s="955" t="s">
        <v>1585</v>
      </c>
      <c r="P71" s="955" t="s">
        <v>1585</v>
      </c>
      <c r="Q71" s="986"/>
      <c r="R71" s="957" t="s">
        <v>166</v>
      </c>
      <c r="S71" s="982" t="s">
        <v>210</v>
      </c>
    </row>
    <row r="72" spans="2:19">
      <c r="B72" s="956">
        <v>8</v>
      </c>
      <c r="C72" s="955" t="s">
        <v>1567</v>
      </c>
      <c r="D72" s="955" t="s">
        <v>151</v>
      </c>
      <c r="E72" s="970" t="s">
        <v>1567</v>
      </c>
      <c r="F72" s="970" t="s">
        <v>2355</v>
      </c>
      <c r="G72" s="956">
        <v>71654417</v>
      </c>
      <c r="H72" s="955" t="s">
        <v>1187</v>
      </c>
      <c r="I72" s="1000"/>
      <c r="J72" s="956"/>
      <c r="K72" s="955" t="s">
        <v>1588</v>
      </c>
      <c r="L72" s="970">
        <v>3137451301</v>
      </c>
      <c r="M72" s="955"/>
      <c r="N72" s="955" t="s">
        <v>1567</v>
      </c>
      <c r="O72" s="955" t="s">
        <v>1585</v>
      </c>
      <c r="P72" s="955" t="s">
        <v>1585</v>
      </c>
      <c r="Q72" s="986"/>
      <c r="R72" s="957" t="s">
        <v>166</v>
      </c>
      <c r="S72" s="982" t="s">
        <v>210</v>
      </c>
    </row>
    <row r="73" spans="2:19">
      <c r="B73" s="956">
        <v>8</v>
      </c>
      <c r="C73" s="955" t="s">
        <v>1567</v>
      </c>
      <c r="D73" s="955" t="s">
        <v>151</v>
      </c>
      <c r="E73" s="970" t="s">
        <v>865</v>
      </c>
      <c r="F73" s="970" t="s">
        <v>2356</v>
      </c>
      <c r="G73" s="956">
        <v>43257850</v>
      </c>
      <c r="H73" s="955" t="s">
        <v>1191</v>
      </c>
      <c r="I73" s="1000"/>
      <c r="J73" s="956"/>
      <c r="K73" s="955" t="s">
        <v>1588</v>
      </c>
      <c r="L73" s="970">
        <v>3178233227</v>
      </c>
      <c r="M73" s="955"/>
      <c r="N73" s="955" t="s">
        <v>810</v>
      </c>
      <c r="O73" s="955" t="s">
        <v>1585</v>
      </c>
      <c r="P73" s="955" t="s">
        <v>1585</v>
      </c>
      <c r="Q73" s="986"/>
      <c r="R73" s="957" t="s">
        <v>166</v>
      </c>
      <c r="S73" s="982" t="s">
        <v>210</v>
      </c>
    </row>
    <row r="74" spans="2:19">
      <c r="B74" s="956">
        <v>8</v>
      </c>
      <c r="C74" s="955" t="s">
        <v>1567</v>
      </c>
      <c r="D74" s="955" t="s">
        <v>151</v>
      </c>
      <c r="E74" s="970" t="s">
        <v>1557</v>
      </c>
      <c r="F74" s="970" t="s">
        <v>2357</v>
      </c>
      <c r="G74" s="956">
        <v>71752163</v>
      </c>
      <c r="H74" s="961" t="s">
        <v>1187</v>
      </c>
      <c r="I74" s="1000"/>
      <c r="J74" s="956"/>
      <c r="K74" s="955" t="s">
        <v>1588</v>
      </c>
      <c r="L74" s="970">
        <v>3117791930</v>
      </c>
      <c r="M74" s="955"/>
      <c r="N74" s="955" t="s">
        <v>810</v>
      </c>
      <c r="O74" s="955" t="s">
        <v>1585</v>
      </c>
      <c r="P74" s="955" t="s">
        <v>1585</v>
      </c>
      <c r="Q74" s="986"/>
      <c r="R74" s="957" t="s">
        <v>166</v>
      </c>
      <c r="S74" s="982" t="s">
        <v>210</v>
      </c>
    </row>
    <row r="75" spans="2:19">
      <c r="B75" s="956">
        <v>8</v>
      </c>
      <c r="C75" s="955" t="s">
        <v>1567</v>
      </c>
      <c r="D75" s="955" t="s">
        <v>151</v>
      </c>
      <c r="E75" s="970" t="s">
        <v>866</v>
      </c>
      <c r="F75" s="970" t="s">
        <v>2358</v>
      </c>
      <c r="G75" s="956">
        <v>1020109454</v>
      </c>
      <c r="H75" s="955" t="s">
        <v>1191</v>
      </c>
      <c r="I75" s="1000"/>
      <c r="J75" s="956"/>
      <c r="K75" s="955" t="s">
        <v>1588</v>
      </c>
      <c r="L75" s="970">
        <v>3019564459</v>
      </c>
      <c r="M75" s="955"/>
      <c r="N75" s="955"/>
      <c r="O75" s="955" t="s">
        <v>1585</v>
      </c>
      <c r="P75" s="955" t="s">
        <v>1585</v>
      </c>
      <c r="Q75" s="986"/>
      <c r="R75" s="957" t="s">
        <v>166</v>
      </c>
      <c r="S75" s="982" t="s">
        <v>210</v>
      </c>
    </row>
    <row r="76" spans="2:19">
      <c r="B76" s="956">
        <v>8</v>
      </c>
      <c r="C76" s="955" t="s">
        <v>1567</v>
      </c>
      <c r="D76" s="955" t="s">
        <v>151</v>
      </c>
      <c r="E76" s="970" t="s">
        <v>867</v>
      </c>
      <c r="F76" s="970" t="s">
        <v>2359</v>
      </c>
      <c r="G76" s="956">
        <v>11830096</v>
      </c>
      <c r="H76" s="955" t="s">
        <v>1187</v>
      </c>
      <c r="I76" s="1000"/>
      <c r="J76" s="956"/>
      <c r="K76" s="955" t="s">
        <v>1588</v>
      </c>
      <c r="L76" s="970">
        <v>3103982007</v>
      </c>
      <c r="M76" s="955"/>
      <c r="N76" s="955"/>
      <c r="O76" s="955" t="s">
        <v>1585</v>
      </c>
      <c r="P76" s="955" t="s">
        <v>1585</v>
      </c>
      <c r="Q76" s="986"/>
      <c r="R76" s="957" t="s">
        <v>166</v>
      </c>
      <c r="S76" s="982" t="s">
        <v>210</v>
      </c>
    </row>
    <row r="77" spans="2:19">
      <c r="B77" s="956">
        <v>8</v>
      </c>
      <c r="C77" s="955" t="s">
        <v>1567</v>
      </c>
      <c r="D77" s="955" t="s">
        <v>151</v>
      </c>
      <c r="E77" s="970" t="s">
        <v>1918</v>
      </c>
      <c r="F77" s="970" t="s">
        <v>2360</v>
      </c>
      <c r="G77" s="956">
        <v>43462206</v>
      </c>
      <c r="H77" s="955" t="s">
        <v>1191</v>
      </c>
      <c r="I77" s="1000"/>
      <c r="J77" s="956"/>
      <c r="K77" s="955" t="s">
        <v>1588</v>
      </c>
      <c r="L77" s="970">
        <v>3103665352</v>
      </c>
      <c r="M77" s="955"/>
      <c r="N77" s="955"/>
      <c r="O77" s="955" t="s">
        <v>1585</v>
      </c>
      <c r="P77" s="955" t="s">
        <v>1585</v>
      </c>
      <c r="Q77" s="986"/>
      <c r="R77" s="957" t="s">
        <v>166</v>
      </c>
      <c r="S77" s="982" t="s">
        <v>210</v>
      </c>
    </row>
    <row r="78" spans="2:19">
      <c r="B78" s="956">
        <v>8</v>
      </c>
      <c r="C78" s="955" t="s">
        <v>1567</v>
      </c>
      <c r="D78" s="955" t="s">
        <v>151</v>
      </c>
      <c r="E78" s="970" t="s">
        <v>868</v>
      </c>
      <c r="F78" s="970" t="s">
        <v>2361</v>
      </c>
      <c r="G78" s="956">
        <v>3380566</v>
      </c>
      <c r="H78" s="955" t="s">
        <v>1187</v>
      </c>
      <c r="I78" s="1000"/>
      <c r="J78" s="956"/>
      <c r="K78" s="955" t="s">
        <v>1588</v>
      </c>
      <c r="L78" s="970">
        <v>3015641943</v>
      </c>
      <c r="M78" s="955"/>
      <c r="N78" s="955" t="s">
        <v>1679</v>
      </c>
      <c r="O78" s="955" t="s">
        <v>1585</v>
      </c>
      <c r="P78" s="955" t="s">
        <v>1585</v>
      </c>
      <c r="Q78" s="986"/>
      <c r="R78" s="957" t="s">
        <v>166</v>
      </c>
      <c r="S78" s="982" t="s">
        <v>210</v>
      </c>
    </row>
    <row r="79" spans="2:19">
      <c r="B79" s="956">
        <v>8</v>
      </c>
      <c r="C79" s="955" t="s">
        <v>1567</v>
      </c>
      <c r="D79" s="955" t="s">
        <v>151</v>
      </c>
      <c r="E79" s="970" t="s">
        <v>1919</v>
      </c>
      <c r="F79" s="970" t="s">
        <v>2362</v>
      </c>
      <c r="G79" s="956">
        <v>70106419</v>
      </c>
      <c r="H79" s="955" t="s">
        <v>1187</v>
      </c>
      <c r="I79" s="1000"/>
      <c r="J79" s="956"/>
      <c r="K79" s="955" t="s">
        <v>1588</v>
      </c>
      <c r="L79" s="970">
        <v>3028537066</v>
      </c>
      <c r="M79" s="955"/>
      <c r="N79" s="955"/>
      <c r="O79" s="955" t="s">
        <v>1585</v>
      </c>
      <c r="P79" s="955" t="s">
        <v>1585</v>
      </c>
      <c r="Q79" s="986"/>
      <c r="R79" s="957" t="s">
        <v>166</v>
      </c>
      <c r="S79" s="982" t="s">
        <v>210</v>
      </c>
    </row>
    <row r="80" spans="2:19">
      <c r="B80" s="956">
        <v>8</v>
      </c>
      <c r="C80" s="955" t="s">
        <v>1567</v>
      </c>
      <c r="D80" s="955" t="s">
        <v>129</v>
      </c>
      <c r="E80" s="970" t="s">
        <v>869</v>
      </c>
      <c r="F80" s="970" t="s">
        <v>2363</v>
      </c>
      <c r="G80" s="956">
        <v>43508160</v>
      </c>
      <c r="H80" s="955" t="s">
        <v>1191</v>
      </c>
      <c r="I80" s="1000"/>
      <c r="J80" s="956"/>
      <c r="K80" s="955" t="s">
        <v>1588</v>
      </c>
      <c r="L80" s="970">
        <v>3105042325</v>
      </c>
      <c r="M80" s="955"/>
      <c r="N80" s="955" t="s">
        <v>1685</v>
      </c>
      <c r="O80" s="955" t="s">
        <v>1585</v>
      </c>
      <c r="P80" s="955" t="s">
        <v>1585</v>
      </c>
      <c r="Q80" s="986"/>
      <c r="R80" s="957" t="s">
        <v>166</v>
      </c>
      <c r="S80" s="982" t="s">
        <v>210</v>
      </c>
    </row>
    <row r="81" spans="2:19">
      <c r="B81" s="956">
        <v>8</v>
      </c>
      <c r="C81" s="955" t="s">
        <v>1567</v>
      </c>
      <c r="D81" s="955" t="s">
        <v>151</v>
      </c>
      <c r="E81" s="970" t="s">
        <v>1684</v>
      </c>
      <c r="F81" s="970" t="s">
        <v>2364</v>
      </c>
      <c r="G81" s="956">
        <v>1038829219</v>
      </c>
      <c r="H81" s="955" t="s">
        <v>1187</v>
      </c>
      <c r="I81" s="1000"/>
      <c r="J81" s="956"/>
      <c r="K81" s="955" t="s">
        <v>1588</v>
      </c>
      <c r="L81" s="970">
        <v>3003996961</v>
      </c>
      <c r="M81" s="955"/>
      <c r="N81" s="955" t="s">
        <v>1684</v>
      </c>
      <c r="O81" s="955" t="s">
        <v>1585</v>
      </c>
      <c r="P81" s="955" t="s">
        <v>1585</v>
      </c>
      <c r="Q81" s="986"/>
      <c r="R81" s="957" t="s">
        <v>166</v>
      </c>
      <c r="S81" s="982" t="s">
        <v>210</v>
      </c>
    </row>
    <row r="82" spans="2:19">
      <c r="B82" s="956">
        <v>8</v>
      </c>
      <c r="C82" s="955" t="s">
        <v>1567</v>
      </c>
      <c r="D82" s="955" t="s">
        <v>151</v>
      </c>
      <c r="E82" s="970" t="s">
        <v>1920</v>
      </c>
      <c r="F82" s="970" t="s">
        <v>2365</v>
      </c>
      <c r="G82" s="956">
        <v>1025528188</v>
      </c>
      <c r="H82" s="955" t="s">
        <v>1191</v>
      </c>
      <c r="I82" s="1000"/>
      <c r="J82" s="956"/>
      <c r="K82" s="955" t="s">
        <v>1588</v>
      </c>
      <c r="L82" s="970">
        <v>3028641403</v>
      </c>
      <c r="M82" s="955"/>
      <c r="N82" s="955" t="s">
        <v>1686</v>
      </c>
      <c r="O82" s="955" t="s">
        <v>1585</v>
      </c>
      <c r="P82" s="955" t="s">
        <v>1585</v>
      </c>
      <c r="Q82" s="986"/>
      <c r="R82" s="957" t="s">
        <v>166</v>
      </c>
      <c r="S82" s="982" t="s">
        <v>210</v>
      </c>
    </row>
    <row r="83" spans="2:19">
      <c r="B83" s="956">
        <v>8</v>
      </c>
      <c r="C83" s="955" t="s">
        <v>1567</v>
      </c>
      <c r="D83" s="955" t="s">
        <v>151</v>
      </c>
      <c r="E83" s="970" t="s">
        <v>1921</v>
      </c>
      <c r="F83" s="970" t="s">
        <v>2366</v>
      </c>
      <c r="G83" s="956">
        <v>1017137172</v>
      </c>
      <c r="H83" s="955" t="s">
        <v>1187</v>
      </c>
      <c r="I83" s="1000"/>
      <c r="J83" s="956"/>
      <c r="K83" s="955" t="s">
        <v>1588</v>
      </c>
      <c r="L83" s="970">
        <v>3117892096</v>
      </c>
      <c r="M83" s="955"/>
      <c r="N83" s="955" t="s">
        <v>1686</v>
      </c>
      <c r="O83" s="955" t="s">
        <v>1585</v>
      </c>
      <c r="P83" s="955" t="s">
        <v>1585</v>
      </c>
      <c r="Q83" s="986"/>
      <c r="R83" s="957" t="s">
        <v>166</v>
      </c>
      <c r="S83" s="982" t="s">
        <v>210</v>
      </c>
    </row>
    <row r="84" spans="2:19">
      <c r="B84" s="956">
        <v>8</v>
      </c>
      <c r="C84" s="955" t="s">
        <v>1567</v>
      </c>
      <c r="D84" s="955" t="s">
        <v>151</v>
      </c>
      <c r="E84" s="970" t="s">
        <v>1922</v>
      </c>
      <c r="F84" s="970" t="s">
        <v>2367</v>
      </c>
      <c r="G84" s="956">
        <v>71950937</v>
      </c>
      <c r="H84" s="955" t="s">
        <v>1187</v>
      </c>
      <c r="I84" s="1000"/>
      <c r="J84" s="956"/>
      <c r="K84" s="955" t="s">
        <v>1588</v>
      </c>
      <c r="L84" s="970">
        <v>3193946665</v>
      </c>
      <c r="M84" s="955"/>
      <c r="N84" s="955"/>
      <c r="O84" s="955" t="s">
        <v>1585</v>
      </c>
      <c r="P84" s="955" t="s">
        <v>1585</v>
      </c>
      <c r="Q84" s="986"/>
      <c r="R84" s="957" t="s">
        <v>166</v>
      </c>
      <c r="S84" s="982" t="s">
        <v>210</v>
      </c>
    </row>
    <row r="85" spans="2:19">
      <c r="B85" s="956">
        <v>8</v>
      </c>
      <c r="C85" s="955" t="s">
        <v>1567</v>
      </c>
      <c r="D85" s="955" t="s">
        <v>151</v>
      </c>
      <c r="E85" s="970" t="s">
        <v>1923</v>
      </c>
      <c r="F85" s="970" t="s">
        <v>2321</v>
      </c>
      <c r="G85" s="956">
        <v>1020418644</v>
      </c>
      <c r="H85" s="955" t="s">
        <v>1191</v>
      </c>
      <c r="I85" s="1000"/>
      <c r="J85" s="956">
        <v>38</v>
      </c>
      <c r="K85" s="955"/>
      <c r="L85" s="970">
        <v>3215276715</v>
      </c>
      <c r="M85" s="955" t="s">
        <v>2322</v>
      </c>
      <c r="N85" s="955" t="s">
        <v>2314</v>
      </c>
      <c r="O85" s="955" t="s">
        <v>1585</v>
      </c>
      <c r="P85" s="955" t="s">
        <v>1585</v>
      </c>
      <c r="Q85" s="986"/>
      <c r="R85" s="957" t="s">
        <v>166</v>
      </c>
      <c r="S85" s="982" t="s">
        <v>210</v>
      </c>
    </row>
    <row r="86" spans="2:19">
      <c r="B86" s="956">
        <v>8</v>
      </c>
      <c r="C86" s="955" t="s">
        <v>1567</v>
      </c>
      <c r="D86" s="955" t="s">
        <v>151</v>
      </c>
      <c r="E86" s="970" t="s">
        <v>870</v>
      </c>
      <c r="F86" s="970" t="s">
        <v>2368</v>
      </c>
      <c r="G86" s="956">
        <v>43584574</v>
      </c>
      <c r="H86" s="955" t="s">
        <v>1191</v>
      </c>
      <c r="I86" s="1000"/>
      <c r="J86" s="956"/>
      <c r="K86" s="955" t="s">
        <v>1588</v>
      </c>
      <c r="L86" s="970">
        <v>3042455437</v>
      </c>
      <c r="M86" s="955"/>
      <c r="N86" s="955" t="s">
        <v>870</v>
      </c>
      <c r="O86" s="955" t="s">
        <v>1585</v>
      </c>
      <c r="P86" s="955" t="s">
        <v>1585</v>
      </c>
      <c r="Q86" s="986"/>
      <c r="R86" s="957" t="s">
        <v>166</v>
      </c>
      <c r="S86" s="982" t="s">
        <v>210</v>
      </c>
    </row>
    <row r="87" spans="2:19">
      <c r="B87" s="956">
        <v>8</v>
      </c>
      <c r="C87" s="955" t="s">
        <v>1567</v>
      </c>
      <c r="D87" s="955" t="s">
        <v>151</v>
      </c>
      <c r="E87" s="970" t="s">
        <v>871</v>
      </c>
      <c r="F87" s="970" t="s">
        <v>2369</v>
      </c>
      <c r="G87" s="956">
        <v>1018299850</v>
      </c>
      <c r="H87" s="955" t="s">
        <v>1191</v>
      </c>
      <c r="I87" s="1000"/>
      <c r="J87" s="956"/>
      <c r="K87" s="955" t="s">
        <v>1588</v>
      </c>
      <c r="L87" s="970">
        <v>3014980509</v>
      </c>
      <c r="M87" s="955"/>
      <c r="N87" s="955" t="s">
        <v>871</v>
      </c>
      <c r="O87" s="955" t="s">
        <v>1585</v>
      </c>
      <c r="P87" s="955" t="s">
        <v>1585</v>
      </c>
      <c r="Q87" s="986"/>
      <c r="R87" s="957" t="s">
        <v>166</v>
      </c>
      <c r="S87" s="982" t="s">
        <v>210</v>
      </c>
    </row>
    <row r="88" spans="2:19">
      <c r="B88" s="956">
        <v>8</v>
      </c>
      <c r="C88" s="955" t="s">
        <v>1567</v>
      </c>
      <c r="D88" s="955" t="s">
        <v>151</v>
      </c>
      <c r="E88" s="970" t="s">
        <v>1924</v>
      </c>
      <c r="F88" s="970" t="s">
        <v>2370</v>
      </c>
      <c r="G88" s="956">
        <v>1020493588</v>
      </c>
      <c r="H88" s="955" t="s">
        <v>1191</v>
      </c>
      <c r="I88" s="1000"/>
      <c r="J88" s="956"/>
      <c r="K88" s="955" t="s">
        <v>1588</v>
      </c>
      <c r="L88" s="970">
        <v>3054484645</v>
      </c>
      <c r="M88" s="955"/>
      <c r="N88" s="955" t="s">
        <v>870</v>
      </c>
      <c r="O88" s="955" t="s">
        <v>1585</v>
      </c>
      <c r="P88" s="955" t="s">
        <v>1585</v>
      </c>
      <c r="Q88" s="986"/>
      <c r="R88" s="957" t="s">
        <v>166</v>
      </c>
      <c r="S88" s="982" t="s">
        <v>210</v>
      </c>
    </row>
    <row r="89" spans="2:19">
      <c r="B89" s="956">
        <v>8</v>
      </c>
      <c r="C89" s="955" t="s">
        <v>1567</v>
      </c>
      <c r="D89" s="955" t="s">
        <v>151</v>
      </c>
      <c r="E89" s="970" t="s">
        <v>1924</v>
      </c>
      <c r="F89" s="970" t="s">
        <v>2371</v>
      </c>
      <c r="G89" s="956">
        <v>43510298</v>
      </c>
      <c r="H89" s="955" t="s">
        <v>1191</v>
      </c>
      <c r="I89" s="1000"/>
      <c r="J89" s="956"/>
      <c r="K89" s="955" t="s">
        <v>1588</v>
      </c>
      <c r="L89" s="970">
        <v>3012904856</v>
      </c>
      <c r="M89" s="955"/>
      <c r="N89" s="955" t="s">
        <v>870</v>
      </c>
      <c r="O89" s="955" t="s">
        <v>1585</v>
      </c>
      <c r="P89" s="955" t="s">
        <v>1585</v>
      </c>
      <c r="Q89" s="986"/>
      <c r="R89" s="957" t="s">
        <v>166</v>
      </c>
      <c r="S89" s="982" t="s">
        <v>210</v>
      </c>
    </row>
    <row r="90" spans="2:19">
      <c r="B90" s="956">
        <v>8</v>
      </c>
      <c r="C90" s="955" t="s">
        <v>1567</v>
      </c>
      <c r="D90" s="955" t="s">
        <v>151</v>
      </c>
      <c r="E90" s="970" t="s">
        <v>872</v>
      </c>
      <c r="F90" s="970" t="s">
        <v>2372</v>
      </c>
      <c r="G90" s="956">
        <v>1000536027</v>
      </c>
      <c r="H90" s="955" t="s">
        <v>1187</v>
      </c>
      <c r="I90" s="1000"/>
      <c r="J90" s="956"/>
      <c r="K90" s="955" t="s">
        <v>1588</v>
      </c>
      <c r="L90" s="970">
        <v>3115983307</v>
      </c>
      <c r="M90" s="955"/>
      <c r="N90" s="955" t="s">
        <v>1679</v>
      </c>
      <c r="O90" s="955" t="s">
        <v>1585</v>
      </c>
      <c r="P90" s="955" t="s">
        <v>1585</v>
      </c>
      <c r="Q90" s="986"/>
      <c r="R90" s="957" t="s">
        <v>166</v>
      </c>
      <c r="S90" s="982" t="s">
        <v>210</v>
      </c>
    </row>
    <row r="91" spans="2:19">
      <c r="B91" s="956">
        <v>8</v>
      </c>
      <c r="C91" s="955" t="s">
        <v>1567</v>
      </c>
      <c r="D91" s="955" t="s">
        <v>151</v>
      </c>
      <c r="E91" s="970" t="s">
        <v>873</v>
      </c>
      <c r="F91" s="970" t="s">
        <v>2373</v>
      </c>
      <c r="G91" s="956">
        <v>71970367</v>
      </c>
      <c r="H91" s="955" t="s">
        <v>1187</v>
      </c>
      <c r="I91" s="1000"/>
      <c r="J91" s="956"/>
      <c r="K91" s="955" t="s">
        <v>1588</v>
      </c>
      <c r="L91" s="970">
        <v>320572340</v>
      </c>
      <c r="M91" s="955"/>
      <c r="N91" s="955"/>
      <c r="O91" s="955" t="s">
        <v>1585</v>
      </c>
      <c r="P91" s="955" t="s">
        <v>1585</v>
      </c>
      <c r="Q91" s="986"/>
      <c r="R91" s="957" t="s">
        <v>166</v>
      </c>
      <c r="S91" s="982" t="s">
        <v>210</v>
      </c>
    </row>
    <row r="92" spans="2:19">
      <c r="B92" s="956">
        <v>8</v>
      </c>
      <c r="C92" s="955" t="s">
        <v>1567</v>
      </c>
      <c r="D92" s="955" t="s">
        <v>151</v>
      </c>
      <c r="E92" s="970" t="s">
        <v>1925</v>
      </c>
      <c r="F92" s="970" t="s">
        <v>2374</v>
      </c>
      <c r="G92" s="956">
        <v>78324527</v>
      </c>
      <c r="H92" s="955" t="s">
        <v>1187</v>
      </c>
      <c r="I92" s="1000"/>
      <c r="J92" s="956"/>
      <c r="K92" s="955" t="s">
        <v>1588</v>
      </c>
      <c r="L92" s="970"/>
      <c r="M92" s="955"/>
      <c r="N92" s="955" t="s">
        <v>870</v>
      </c>
      <c r="O92" s="955" t="s">
        <v>1585</v>
      </c>
      <c r="P92" s="955" t="s">
        <v>1585</v>
      </c>
      <c r="Q92" s="986"/>
      <c r="R92" s="957" t="s">
        <v>166</v>
      </c>
      <c r="S92" s="982" t="s">
        <v>210</v>
      </c>
    </row>
    <row r="93" spans="2:19">
      <c r="B93" s="956">
        <v>8</v>
      </c>
      <c r="C93" s="955" t="s">
        <v>1567</v>
      </c>
      <c r="D93" s="955" t="s">
        <v>151</v>
      </c>
      <c r="E93" s="984" t="s">
        <v>1927</v>
      </c>
      <c r="F93" s="970" t="s">
        <v>2375</v>
      </c>
      <c r="G93" s="956">
        <v>21476489</v>
      </c>
      <c r="H93" s="955" t="s">
        <v>1191</v>
      </c>
      <c r="I93" s="1000"/>
      <c r="J93" s="956"/>
      <c r="K93" s="955" t="s">
        <v>1588</v>
      </c>
      <c r="L93" s="970">
        <v>3002459915</v>
      </c>
      <c r="M93" s="955"/>
      <c r="N93" s="955" t="s">
        <v>1681</v>
      </c>
      <c r="O93" s="955" t="s">
        <v>1585</v>
      </c>
      <c r="P93" s="955" t="s">
        <v>1585</v>
      </c>
      <c r="Q93" s="986"/>
      <c r="R93" s="957" t="s">
        <v>166</v>
      </c>
      <c r="S93" s="982" t="s">
        <v>210</v>
      </c>
    </row>
    <row r="94" spans="2:19">
      <c r="B94" s="956">
        <v>8</v>
      </c>
      <c r="C94" s="955" t="s">
        <v>1567</v>
      </c>
      <c r="D94" s="955" t="s">
        <v>151</v>
      </c>
      <c r="E94" s="970" t="s">
        <v>1926</v>
      </c>
      <c r="F94" s="970" t="s">
        <v>2376</v>
      </c>
      <c r="G94" s="956">
        <v>39185947</v>
      </c>
      <c r="H94" s="955" t="s">
        <v>1191</v>
      </c>
      <c r="I94" s="1000"/>
      <c r="J94" s="956"/>
      <c r="K94" s="955" t="s">
        <v>1588</v>
      </c>
      <c r="L94" s="970">
        <v>3005681910</v>
      </c>
      <c r="M94" s="955"/>
      <c r="N94" s="955"/>
      <c r="O94" s="955" t="s">
        <v>1585</v>
      </c>
      <c r="P94" s="955" t="s">
        <v>1585</v>
      </c>
      <c r="Q94" s="986"/>
      <c r="R94" s="957" t="s">
        <v>166</v>
      </c>
      <c r="S94" s="982" t="s">
        <v>210</v>
      </c>
    </row>
    <row r="95" spans="2:19">
      <c r="B95" s="956">
        <v>8</v>
      </c>
      <c r="C95" s="955" t="s">
        <v>1567</v>
      </c>
      <c r="D95" s="955" t="s">
        <v>151</v>
      </c>
      <c r="E95" s="970" t="s">
        <v>2187</v>
      </c>
      <c r="F95" s="970" t="s">
        <v>2188</v>
      </c>
      <c r="G95" s="956">
        <v>71660732</v>
      </c>
      <c r="H95" s="955" t="s">
        <v>1187</v>
      </c>
      <c r="I95" s="1000"/>
      <c r="J95" s="956"/>
      <c r="K95" s="955"/>
      <c r="L95" s="970">
        <v>3023417611</v>
      </c>
      <c r="M95" s="955" t="s">
        <v>2377</v>
      </c>
      <c r="N95" s="955"/>
      <c r="O95" s="955"/>
      <c r="P95" s="955"/>
      <c r="Q95" s="986"/>
      <c r="R95" s="957" t="s">
        <v>166</v>
      </c>
      <c r="S95" s="982" t="s">
        <v>210</v>
      </c>
    </row>
    <row r="96" spans="2:19">
      <c r="B96" s="956">
        <v>8</v>
      </c>
      <c r="C96" s="955" t="s">
        <v>1567</v>
      </c>
      <c r="D96" s="955" t="s">
        <v>151</v>
      </c>
      <c r="E96" s="970" t="s">
        <v>2200</v>
      </c>
      <c r="F96" s="970" t="s">
        <v>2269</v>
      </c>
      <c r="G96" s="956">
        <v>39384513</v>
      </c>
      <c r="H96" s="955" t="s">
        <v>1191</v>
      </c>
      <c r="I96" s="1000"/>
      <c r="J96" s="956"/>
      <c r="K96" s="955"/>
      <c r="L96" s="970">
        <v>3016299448</v>
      </c>
      <c r="M96" s="955"/>
      <c r="N96" s="955"/>
      <c r="O96" s="955"/>
      <c r="P96" s="955"/>
      <c r="Q96" s="986"/>
      <c r="R96" s="957" t="s">
        <v>166</v>
      </c>
      <c r="S96" s="982" t="s">
        <v>210</v>
      </c>
    </row>
    <row r="97" spans="2:19">
      <c r="B97" s="956">
        <v>8</v>
      </c>
      <c r="C97" s="955" t="s">
        <v>1567</v>
      </c>
      <c r="D97" s="955" t="s">
        <v>151</v>
      </c>
      <c r="E97" s="970" t="s">
        <v>2204</v>
      </c>
      <c r="F97" s="970" t="s">
        <v>2205</v>
      </c>
      <c r="G97" s="956">
        <v>43735908</v>
      </c>
      <c r="H97" s="955" t="s">
        <v>1191</v>
      </c>
      <c r="I97" s="1000"/>
      <c r="J97" s="956"/>
      <c r="K97" s="955"/>
      <c r="L97" s="970">
        <v>3045518985</v>
      </c>
      <c r="M97" s="955"/>
      <c r="N97" s="955"/>
      <c r="O97" s="955"/>
      <c r="P97" s="955"/>
      <c r="Q97" s="986"/>
      <c r="R97" s="957" t="s">
        <v>166</v>
      </c>
      <c r="S97" s="982" t="s">
        <v>210</v>
      </c>
    </row>
    <row r="98" spans="2:19">
      <c r="B98" s="956">
        <v>8</v>
      </c>
      <c r="C98" s="955" t="s">
        <v>1567</v>
      </c>
      <c r="D98" s="955" t="s">
        <v>151</v>
      </c>
      <c r="E98" s="970" t="s">
        <v>2211</v>
      </c>
      <c r="F98" s="970" t="s">
        <v>2212</v>
      </c>
      <c r="G98" s="956">
        <v>71698727</v>
      </c>
      <c r="H98" s="955" t="s">
        <v>1187</v>
      </c>
      <c r="I98" s="1000"/>
      <c r="J98" s="956"/>
      <c r="K98" s="955"/>
      <c r="L98" s="970">
        <v>3113882223</v>
      </c>
      <c r="M98" s="955"/>
      <c r="N98" s="955"/>
      <c r="O98" s="955"/>
      <c r="P98" s="955"/>
      <c r="Q98" s="986"/>
      <c r="R98" s="957" t="s">
        <v>166</v>
      </c>
      <c r="S98" s="982" t="s">
        <v>210</v>
      </c>
    </row>
    <row r="99" spans="2:19">
      <c r="B99" s="956">
        <v>8</v>
      </c>
      <c r="C99" s="955" t="s">
        <v>1567</v>
      </c>
      <c r="D99" s="955" t="s">
        <v>129</v>
      </c>
      <c r="E99" s="970" t="s">
        <v>871</v>
      </c>
      <c r="F99" s="970" t="s">
        <v>2229</v>
      </c>
      <c r="G99" s="956" t="s">
        <v>2230</v>
      </c>
      <c r="H99" s="955" t="s">
        <v>1191</v>
      </c>
      <c r="I99" s="1000">
        <v>40454</v>
      </c>
      <c r="J99" s="956">
        <v>15</v>
      </c>
      <c r="K99" s="955"/>
      <c r="L99" s="970" t="s">
        <v>2231</v>
      </c>
      <c r="M99" s="955" t="s">
        <v>2232</v>
      </c>
      <c r="N99" s="955" t="s">
        <v>871</v>
      </c>
      <c r="O99" s="955" t="s">
        <v>192</v>
      </c>
      <c r="P99" s="955" t="s">
        <v>193</v>
      </c>
      <c r="Q99" s="986">
        <v>45912</v>
      </c>
      <c r="R99" s="957" t="s">
        <v>166</v>
      </c>
      <c r="S99" s="982" t="s">
        <v>210</v>
      </c>
    </row>
    <row r="100" spans="2:19">
      <c r="B100" s="956">
        <v>8</v>
      </c>
      <c r="C100" s="955" t="s">
        <v>1567</v>
      </c>
      <c r="D100" s="955" t="s">
        <v>151</v>
      </c>
      <c r="E100" s="970" t="s">
        <v>2267</v>
      </c>
      <c r="F100" s="970" t="s">
        <v>2244</v>
      </c>
      <c r="G100" s="956">
        <v>71618724</v>
      </c>
      <c r="H100" s="955" t="s">
        <v>1187</v>
      </c>
      <c r="I100" s="1000">
        <v>22847</v>
      </c>
      <c r="J100" s="956">
        <v>63</v>
      </c>
      <c r="K100" s="955"/>
      <c r="L100" s="970">
        <v>3108992425</v>
      </c>
      <c r="M100" s="955" t="s">
        <v>2245</v>
      </c>
      <c r="N100" s="955" t="s">
        <v>807</v>
      </c>
      <c r="O100" s="955" t="s">
        <v>876</v>
      </c>
      <c r="P100" s="955" t="s">
        <v>663</v>
      </c>
      <c r="Q100" s="986">
        <v>45899</v>
      </c>
      <c r="R100" s="957" t="s">
        <v>166</v>
      </c>
      <c r="S100" s="982" t="s">
        <v>210</v>
      </c>
    </row>
    <row r="101" spans="2:19">
      <c r="B101" s="956">
        <v>8</v>
      </c>
      <c r="C101" s="955" t="s">
        <v>1567</v>
      </c>
      <c r="D101" s="955" t="s">
        <v>151</v>
      </c>
      <c r="E101" s="970" t="s">
        <v>1682</v>
      </c>
      <c r="F101" s="970" t="s">
        <v>2246</v>
      </c>
      <c r="G101" s="956">
        <v>70106084</v>
      </c>
      <c r="H101" s="955" t="s">
        <v>1187</v>
      </c>
      <c r="I101" s="1000"/>
      <c r="J101" s="956"/>
      <c r="K101" s="955"/>
      <c r="L101" s="970">
        <v>3134787464</v>
      </c>
      <c r="M101" s="955" t="s">
        <v>2226</v>
      </c>
      <c r="N101" s="955" t="s">
        <v>1682</v>
      </c>
      <c r="O101" s="955"/>
      <c r="P101" s="955"/>
      <c r="Q101" s="986">
        <v>45892</v>
      </c>
      <c r="R101" s="957" t="s">
        <v>166</v>
      </c>
      <c r="S101" s="982" t="s">
        <v>210</v>
      </c>
    </row>
    <row r="102" spans="2:19">
      <c r="B102" s="956">
        <v>8</v>
      </c>
      <c r="C102" s="955" t="s">
        <v>1567</v>
      </c>
      <c r="D102" s="955" t="s">
        <v>151</v>
      </c>
      <c r="E102" s="970" t="s">
        <v>813</v>
      </c>
      <c r="F102" s="970" t="s">
        <v>2259</v>
      </c>
      <c r="G102" s="956"/>
      <c r="H102" s="955" t="s">
        <v>1191</v>
      </c>
      <c r="I102" s="1000">
        <v>22012</v>
      </c>
      <c r="J102" s="956">
        <v>66</v>
      </c>
      <c r="K102" s="955"/>
      <c r="L102" s="970">
        <v>3104419923</v>
      </c>
      <c r="M102" s="955" t="s">
        <v>2260</v>
      </c>
      <c r="N102" s="955" t="s">
        <v>813</v>
      </c>
      <c r="O102" s="955" t="s">
        <v>891</v>
      </c>
      <c r="P102" s="955" t="s">
        <v>230</v>
      </c>
      <c r="Q102" s="986">
        <v>45906</v>
      </c>
      <c r="R102" s="957" t="s">
        <v>166</v>
      </c>
      <c r="S102" s="987" t="s">
        <v>210</v>
      </c>
    </row>
    <row r="103" spans="2:19">
      <c r="B103" s="956">
        <v>9</v>
      </c>
      <c r="C103" s="955" t="s">
        <v>1284</v>
      </c>
      <c r="D103" s="955" t="s">
        <v>129</v>
      </c>
      <c r="E103" s="970" t="s">
        <v>874</v>
      </c>
      <c r="F103" s="970" t="s">
        <v>875</v>
      </c>
      <c r="G103" s="956">
        <v>3488466</v>
      </c>
      <c r="H103" s="955" t="s">
        <v>1187</v>
      </c>
      <c r="I103" s="1000">
        <v>18880</v>
      </c>
      <c r="J103" s="956">
        <v>74</v>
      </c>
      <c r="K103" s="955" t="s">
        <v>56</v>
      </c>
      <c r="L103" s="970">
        <v>3117182132</v>
      </c>
      <c r="M103" s="955"/>
      <c r="N103" s="955" t="s">
        <v>1688</v>
      </c>
      <c r="O103" s="955" t="s">
        <v>876</v>
      </c>
      <c r="P103" s="955" t="s">
        <v>663</v>
      </c>
      <c r="Q103" s="986">
        <v>1996</v>
      </c>
      <c r="R103" s="957" t="s">
        <v>166</v>
      </c>
      <c r="S103" s="982" t="s">
        <v>210</v>
      </c>
    </row>
    <row r="104" spans="2:19">
      <c r="B104" s="956">
        <v>9</v>
      </c>
      <c r="C104" s="955" t="s">
        <v>1284</v>
      </c>
      <c r="D104" s="955" t="s">
        <v>129</v>
      </c>
      <c r="E104" s="970" t="s">
        <v>886</v>
      </c>
      <c r="F104" s="970" t="s">
        <v>887</v>
      </c>
      <c r="G104" s="956">
        <v>71594200</v>
      </c>
      <c r="H104" s="955" t="s">
        <v>1187</v>
      </c>
      <c r="I104" s="1000">
        <v>22197</v>
      </c>
      <c r="J104" s="956">
        <v>65</v>
      </c>
      <c r="K104" s="955" t="s">
        <v>73</v>
      </c>
      <c r="L104" s="970">
        <v>3007467583</v>
      </c>
      <c r="M104" s="955" t="s">
        <v>888</v>
      </c>
      <c r="N104" s="955" t="s">
        <v>886</v>
      </c>
      <c r="O104" s="955" t="s">
        <v>321</v>
      </c>
      <c r="P104" s="955" t="s">
        <v>663</v>
      </c>
      <c r="Q104" s="986">
        <v>2002</v>
      </c>
      <c r="R104" s="957" t="s">
        <v>166</v>
      </c>
      <c r="S104" s="982" t="s">
        <v>210</v>
      </c>
    </row>
    <row r="105" spans="2:19">
      <c r="B105" s="956">
        <v>9</v>
      </c>
      <c r="C105" s="955" t="s">
        <v>1284</v>
      </c>
      <c r="D105" s="955" t="s">
        <v>129</v>
      </c>
      <c r="E105" s="970" t="s">
        <v>907</v>
      </c>
      <c r="F105" s="970" t="s">
        <v>908</v>
      </c>
      <c r="G105" s="956">
        <v>15481150</v>
      </c>
      <c r="H105" s="955" t="s">
        <v>1187</v>
      </c>
      <c r="I105" s="1000">
        <v>20801</v>
      </c>
      <c r="J105" s="956">
        <v>69</v>
      </c>
      <c r="K105" s="955" t="s">
        <v>56</v>
      </c>
      <c r="L105" s="970">
        <v>3108411133</v>
      </c>
      <c r="M105" s="955"/>
      <c r="N105" s="955" t="s">
        <v>900</v>
      </c>
      <c r="O105" s="955" t="s">
        <v>164</v>
      </c>
      <c r="P105" s="955" t="s">
        <v>230</v>
      </c>
      <c r="Q105" s="986">
        <v>2001</v>
      </c>
      <c r="R105" s="957" t="s">
        <v>166</v>
      </c>
      <c r="S105" s="987" t="s">
        <v>210</v>
      </c>
    </row>
    <row r="106" spans="2:19">
      <c r="B106" s="956">
        <v>10</v>
      </c>
      <c r="C106" s="955" t="s">
        <v>1568</v>
      </c>
      <c r="D106" s="955" t="s">
        <v>129</v>
      </c>
      <c r="E106" s="970" t="s">
        <v>919</v>
      </c>
      <c r="F106" s="970" t="s">
        <v>920</v>
      </c>
      <c r="G106" s="956"/>
      <c r="H106" s="955" t="s">
        <v>1187</v>
      </c>
      <c r="I106" s="1000">
        <v>19921</v>
      </c>
      <c r="J106" s="956">
        <f ca="1">DATEDIF(I106,TODAY(),"Y")</f>
        <v>71</v>
      </c>
      <c r="K106" s="955" t="s">
        <v>73</v>
      </c>
      <c r="L106" s="970">
        <v>3008260485</v>
      </c>
      <c r="M106" s="955" t="s">
        <v>921</v>
      </c>
      <c r="N106" s="955" t="s">
        <v>919</v>
      </c>
      <c r="O106" s="955" t="s">
        <v>164</v>
      </c>
      <c r="P106" s="955" t="s">
        <v>230</v>
      </c>
      <c r="Q106" s="986">
        <v>2000</v>
      </c>
      <c r="R106" s="957" t="s">
        <v>166</v>
      </c>
      <c r="S106" s="982" t="s">
        <v>210</v>
      </c>
    </row>
    <row r="107" spans="2:19">
      <c r="B107" s="956">
        <v>12</v>
      </c>
      <c r="C107" s="955" t="s">
        <v>1570</v>
      </c>
      <c r="D107" s="955" t="s">
        <v>129</v>
      </c>
      <c r="E107" s="970" t="s">
        <v>936</v>
      </c>
      <c r="F107" s="970" t="s">
        <v>937</v>
      </c>
      <c r="G107" s="956">
        <v>43111534</v>
      </c>
      <c r="H107" s="955" t="s">
        <v>1191</v>
      </c>
      <c r="I107" s="1000">
        <v>28908</v>
      </c>
      <c r="J107" s="956">
        <f ca="1">DATEDIF(I107,TODAY(),"Y")</f>
        <v>47</v>
      </c>
      <c r="K107" s="955" t="s">
        <v>212</v>
      </c>
      <c r="L107" s="970">
        <v>3005477394</v>
      </c>
      <c r="M107" s="955" t="s">
        <v>938</v>
      </c>
      <c r="N107" s="955" t="s">
        <v>939</v>
      </c>
      <c r="O107" s="955" t="s">
        <v>164</v>
      </c>
      <c r="P107" s="955" t="s">
        <v>663</v>
      </c>
      <c r="Q107" s="986">
        <v>1997</v>
      </c>
      <c r="R107" s="957" t="s">
        <v>166</v>
      </c>
      <c r="S107" s="982" t="s">
        <v>210</v>
      </c>
    </row>
    <row r="108" spans="2:19">
      <c r="B108" s="956">
        <v>13</v>
      </c>
      <c r="C108" s="955" t="s">
        <v>1571</v>
      </c>
      <c r="D108" s="955" t="s">
        <v>129</v>
      </c>
      <c r="E108" s="970" t="s">
        <v>957</v>
      </c>
      <c r="F108" s="970" t="s">
        <v>958</v>
      </c>
      <c r="G108" s="956">
        <v>1036670281</v>
      </c>
      <c r="H108" s="955" t="s">
        <v>1191</v>
      </c>
      <c r="I108" s="1000">
        <v>35427</v>
      </c>
      <c r="J108" s="956">
        <v>29</v>
      </c>
      <c r="K108" s="955" t="s">
        <v>1588</v>
      </c>
      <c r="L108" s="970">
        <v>3243938522</v>
      </c>
      <c r="M108" s="955" t="s">
        <v>959</v>
      </c>
      <c r="N108" s="955" t="s">
        <v>1387</v>
      </c>
      <c r="O108" s="955" t="s">
        <v>164</v>
      </c>
      <c r="P108" s="955" t="s">
        <v>1585</v>
      </c>
      <c r="Q108" s="986">
        <v>2023</v>
      </c>
      <c r="R108" s="957" t="s">
        <v>166</v>
      </c>
      <c r="S108" s="982" t="s">
        <v>210</v>
      </c>
    </row>
    <row r="109" spans="2:19">
      <c r="B109" s="956">
        <v>13</v>
      </c>
      <c r="C109" s="955" t="s">
        <v>1571</v>
      </c>
      <c r="D109" s="955" t="s">
        <v>129</v>
      </c>
      <c r="E109" s="970" t="s">
        <v>1548</v>
      </c>
      <c r="F109" s="970" t="s">
        <v>977</v>
      </c>
      <c r="G109" s="956">
        <v>15486987</v>
      </c>
      <c r="H109" s="955" t="s">
        <v>1187</v>
      </c>
      <c r="I109" s="1000">
        <v>26390</v>
      </c>
      <c r="J109" s="956">
        <v>54</v>
      </c>
      <c r="K109" s="955" t="s">
        <v>1588</v>
      </c>
      <c r="L109" s="970">
        <v>3168717977</v>
      </c>
      <c r="M109" s="955"/>
      <c r="N109" s="955" t="s">
        <v>1764</v>
      </c>
      <c r="O109" s="955" t="s">
        <v>164</v>
      </c>
      <c r="P109" s="955" t="s">
        <v>1585</v>
      </c>
      <c r="Q109" s="986">
        <v>2012</v>
      </c>
      <c r="R109" s="957" t="s">
        <v>166</v>
      </c>
      <c r="S109" s="987" t="s">
        <v>210</v>
      </c>
    </row>
    <row r="110" spans="2:19">
      <c r="B110" s="956">
        <v>15</v>
      </c>
      <c r="C110" s="955" t="s">
        <v>1057</v>
      </c>
      <c r="D110" s="955" t="s">
        <v>129</v>
      </c>
      <c r="E110" s="970" t="s">
        <v>986</v>
      </c>
      <c r="F110" s="970" t="s">
        <v>987</v>
      </c>
      <c r="G110" s="956">
        <v>98637543</v>
      </c>
      <c r="H110" s="955" t="s">
        <v>1187</v>
      </c>
      <c r="I110" s="1000"/>
      <c r="J110" s="956"/>
      <c r="K110" s="955" t="s">
        <v>1588</v>
      </c>
      <c r="L110" s="970">
        <v>3218707867</v>
      </c>
      <c r="M110" s="955" t="s">
        <v>988</v>
      </c>
      <c r="N110" s="955"/>
      <c r="O110" s="955" t="s">
        <v>1585</v>
      </c>
      <c r="P110" s="955" t="s">
        <v>1585</v>
      </c>
      <c r="Q110" s="986">
        <v>2024</v>
      </c>
      <c r="R110" s="957" t="s">
        <v>166</v>
      </c>
      <c r="S110" s="982" t="s">
        <v>210</v>
      </c>
    </row>
    <row r="111" spans="2:19">
      <c r="B111" s="956">
        <v>15</v>
      </c>
      <c r="C111" s="955" t="s">
        <v>1057</v>
      </c>
      <c r="D111" s="955" t="s">
        <v>129</v>
      </c>
      <c r="E111" s="970" t="s">
        <v>1001</v>
      </c>
      <c r="F111" s="970" t="s">
        <v>1002</v>
      </c>
      <c r="G111" s="956">
        <v>1036680854</v>
      </c>
      <c r="H111" s="955" t="s">
        <v>1187</v>
      </c>
      <c r="I111" s="1000"/>
      <c r="J111" s="956"/>
      <c r="K111" s="955" t="s">
        <v>1588</v>
      </c>
      <c r="L111" s="970">
        <v>3145804890</v>
      </c>
      <c r="M111" s="955" t="s">
        <v>1003</v>
      </c>
      <c r="N111" s="955"/>
      <c r="O111" s="955" t="s">
        <v>1585</v>
      </c>
      <c r="P111" s="955" t="s">
        <v>1585</v>
      </c>
      <c r="Q111" s="986">
        <v>2024</v>
      </c>
      <c r="R111" s="957" t="s">
        <v>166</v>
      </c>
      <c r="S111" s="982" t="s">
        <v>210</v>
      </c>
    </row>
    <row r="112" spans="2:19">
      <c r="B112" s="956">
        <v>15</v>
      </c>
      <c r="C112" s="955" t="s">
        <v>1057</v>
      </c>
      <c r="D112" s="955" t="s">
        <v>129</v>
      </c>
      <c r="E112" s="970" t="s">
        <v>1014</v>
      </c>
      <c r="F112" s="970" t="s">
        <v>1015</v>
      </c>
      <c r="G112" s="956">
        <v>1000397752</v>
      </c>
      <c r="H112" s="955" t="s">
        <v>1191</v>
      </c>
      <c r="I112" s="1000"/>
      <c r="J112" s="956"/>
      <c r="K112" s="955" t="s">
        <v>1588</v>
      </c>
      <c r="L112" s="970">
        <v>3217284218</v>
      </c>
      <c r="M112" s="955" t="s">
        <v>1016</v>
      </c>
      <c r="N112" s="955"/>
      <c r="O112" s="955" t="s">
        <v>1585</v>
      </c>
      <c r="P112" s="955" t="s">
        <v>1585</v>
      </c>
      <c r="Q112" s="986">
        <v>2024</v>
      </c>
      <c r="R112" s="957" t="s">
        <v>166</v>
      </c>
      <c r="S112" s="982" t="s">
        <v>210</v>
      </c>
    </row>
    <row r="113" spans="2:19">
      <c r="B113" s="956">
        <v>15</v>
      </c>
      <c r="C113" s="955" t="s">
        <v>1057</v>
      </c>
      <c r="D113" s="955" t="s">
        <v>129</v>
      </c>
      <c r="E113" s="970" t="s">
        <v>1027</v>
      </c>
      <c r="F113" s="970" t="s">
        <v>1028</v>
      </c>
      <c r="G113" s="956">
        <v>1036642186</v>
      </c>
      <c r="H113" s="955" t="s">
        <v>1187</v>
      </c>
      <c r="I113" s="1000"/>
      <c r="J113" s="956"/>
      <c r="K113" s="955" t="s">
        <v>1588</v>
      </c>
      <c r="L113" s="970">
        <v>3137331360</v>
      </c>
      <c r="M113" s="955" t="s">
        <v>1029</v>
      </c>
      <c r="N113" s="955" t="s">
        <v>1027</v>
      </c>
      <c r="O113" s="955" t="s">
        <v>1585</v>
      </c>
      <c r="P113" s="955" t="s">
        <v>1585</v>
      </c>
      <c r="Q113" s="986">
        <v>2024</v>
      </c>
      <c r="R113" s="957" t="s">
        <v>166</v>
      </c>
      <c r="S113" s="982" t="s">
        <v>210</v>
      </c>
    </row>
    <row r="114" spans="2:19">
      <c r="B114" s="956">
        <v>15</v>
      </c>
      <c r="C114" s="955" t="s">
        <v>1057</v>
      </c>
      <c r="D114" s="955" t="s">
        <v>129</v>
      </c>
      <c r="E114" s="970" t="s">
        <v>1043</v>
      </c>
      <c r="F114" s="970" t="s">
        <v>1044</v>
      </c>
      <c r="G114" s="956">
        <v>71251692</v>
      </c>
      <c r="H114" s="955" t="s">
        <v>1187</v>
      </c>
      <c r="I114" s="1000"/>
      <c r="J114" s="956"/>
      <c r="K114" s="955" t="s">
        <v>1588</v>
      </c>
      <c r="L114" s="970">
        <v>3115608394</v>
      </c>
      <c r="M114" s="955" t="s">
        <v>1045</v>
      </c>
      <c r="N114" s="955"/>
      <c r="O114" s="955" t="s">
        <v>1585</v>
      </c>
      <c r="P114" s="955" t="s">
        <v>1585</v>
      </c>
      <c r="Q114" s="986">
        <v>2024</v>
      </c>
      <c r="R114" s="957" t="s">
        <v>166</v>
      </c>
      <c r="S114" s="982" t="s">
        <v>210</v>
      </c>
    </row>
    <row r="115" spans="2:19">
      <c r="B115" s="956">
        <v>15</v>
      </c>
      <c r="C115" s="955" t="s">
        <v>1057</v>
      </c>
      <c r="D115" s="955" t="s">
        <v>129</v>
      </c>
      <c r="E115" s="970" t="s">
        <v>1057</v>
      </c>
      <c r="F115" s="970" t="s">
        <v>1058</v>
      </c>
      <c r="G115" s="956">
        <v>1036604052</v>
      </c>
      <c r="H115" s="955" t="s">
        <v>1191</v>
      </c>
      <c r="I115" s="1000"/>
      <c r="J115" s="956"/>
      <c r="K115" s="955" t="s">
        <v>1588</v>
      </c>
      <c r="L115" s="970">
        <v>3188732079</v>
      </c>
      <c r="M115" s="955" t="s">
        <v>1059</v>
      </c>
      <c r="N115" s="955" t="s">
        <v>1057</v>
      </c>
      <c r="O115" s="955" t="s">
        <v>1585</v>
      </c>
      <c r="P115" s="955" t="s">
        <v>1585</v>
      </c>
      <c r="Q115" s="986">
        <v>2024</v>
      </c>
      <c r="R115" s="957" t="s">
        <v>166</v>
      </c>
      <c r="S115" s="982" t="s">
        <v>210</v>
      </c>
    </row>
    <row r="116" spans="2:19">
      <c r="B116" s="956">
        <v>15</v>
      </c>
      <c r="C116" s="955" t="s">
        <v>1057</v>
      </c>
      <c r="D116" s="955" t="s">
        <v>129</v>
      </c>
      <c r="E116" s="970" t="s">
        <v>1070</v>
      </c>
      <c r="F116" s="970" t="s">
        <v>1071</v>
      </c>
      <c r="G116" s="956">
        <v>71601092</v>
      </c>
      <c r="H116" s="955" t="s">
        <v>1187</v>
      </c>
      <c r="I116" s="1000"/>
      <c r="J116" s="956"/>
      <c r="K116" s="955" t="s">
        <v>1588</v>
      </c>
      <c r="L116" s="970">
        <v>3117051767</v>
      </c>
      <c r="M116" s="955" t="s">
        <v>1072</v>
      </c>
      <c r="N116" s="955" t="s">
        <v>1070</v>
      </c>
      <c r="O116" s="955" t="s">
        <v>1585</v>
      </c>
      <c r="P116" s="955" t="s">
        <v>1585</v>
      </c>
      <c r="Q116" s="986">
        <v>2024</v>
      </c>
      <c r="R116" s="957" t="s">
        <v>166</v>
      </c>
      <c r="S116" s="982" t="s">
        <v>210</v>
      </c>
    </row>
    <row r="117" spans="2:19">
      <c r="B117" s="956">
        <v>15</v>
      </c>
      <c r="C117" s="955" t="s">
        <v>1057</v>
      </c>
      <c r="D117" s="955" t="s">
        <v>129</v>
      </c>
      <c r="E117" s="970" t="s">
        <v>1083</v>
      </c>
      <c r="F117" s="970" t="s">
        <v>1084</v>
      </c>
      <c r="G117" s="956">
        <v>5913859</v>
      </c>
      <c r="H117" s="955" t="s">
        <v>1187</v>
      </c>
      <c r="I117" s="1000"/>
      <c r="J117" s="956"/>
      <c r="K117" s="955" t="s">
        <v>1588</v>
      </c>
      <c r="L117" s="970">
        <v>3173233348</v>
      </c>
      <c r="M117" s="955" t="s">
        <v>1085</v>
      </c>
      <c r="N117" s="955"/>
      <c r="O117" s="955" t="s">
        <v>1585</v>
      </c>
      <c r="P117" s="955" t="s">
        <v>1585</v>
      </c>
      <c r="Q117" s="986">
        <v>2024</v>
      </c>
      <c r="R117" s="957" t="s">
        <v>166</v>
      </c>
      <c r="S117" s="982" t="s">
        <v>210</v>
      </c>
    </row>
    <row r="118" spans="2:19">
      <c r="B118" s="956">
        <v>15</v>
      </c>
      <c r="C118" s="955" t="s">
        <v>1057</v>
      </c>
      <c r="D118" s="955" t="s">
        <v>129</v>
      </c>
      <c r="E118" s="970" t="s">
        <v>1096</v>
      </c>
      <c r="F118" s="970" t="s">
        <v>1097</v>
      </c>
      <c r="G118" s="956">
        <v>1020394071</v>
      </c>
      <c r="H118" s="955" t="s">
        <v>1187</v>
      </c>
      <c r="I118" s="1000"/>
      <c r="J118" s="956"/>
      <c r="K118" s="955" t="s">
        <v>1588</v>
      </c>
      <c r="L118" s="970">
        <v>3146465408</v>
      </c>
      <c r="M118" s="955" t="s">
        <v>1098</v>
      </c>
      <c r="N118" s="955" t="s">
        <v>1096</v>
      </c>
      <c r="O118" s="955" t="s">
        <v>1585</v>
      </c>
      <c r="P118" s="955" t="s">
        <v>1585</v>
      </c>
      <c r="Q118" s="986">
        <v>2024</v>
      </c>
      <c r="R118" s="957" t="s">
        <v>166</v>
      </c>
      <c r="S118" s="982" t="s">
        <v>210</v>
      </c>
    </row>
    <row r="119" spans="2:19">
      <c r="B119" s="956">
        <v>15</v>
      </c>
      <c r="C119" s="955" t="s">
        <v>1057</v>
      </c>
      <c r="D119" s="955" t="s">
        <v>129</v>
      </c>
      <c r="E119" s="970" t="s">
        <v>1108</v>
      </c>
      <c r="F119" s="970" t="s">
        <v>1109</v>
      </c>
      <c r="G119" s="956">
        <v>43837849</v>
      </c>
      <c r="H119" s="955" t="s">
        <v>1191</v>
      </c>
      <c r="I119" s="1000"/>
      <c r="J119" s="956"/>
      <c r="K119" s="955" t="s">
        <v>1588</v>
      </c>
      <c r="L119" s="970">
        <v>3116670745</v>
      </c>
      <c r="M119" s="955" t="s">
        <v>1110</v>
      </c>
      <c r="N119" s="955"/>
      <c r="O119" s="955" t="s">
        <v>1585</v>
      </c>
      <c r="P119" s="955" t="s">
        <v>1585</v>
      </c>
      <c r="Q119" s="986">
        <v>2024</v>
      </c>
      <c r="R119" s="957" t="s">
        <v>166</v>
      </c>
      <c r="S119" s="982" t="s">
        <v>210</v>
      </c>
    </row>
    <row r="120" spans="2:19">
      <c r="B120" s="956">
        <v>15</v>
      </c>
      <c r="C120" s="955" t="s">
        <v>1057</v>
      </c>
      <c r="D120" s="955" t="s">
        <v>129</v>
      </c>
      <c r="E120" s="970" t="s">
        <v>1121</v>
      </c>
      <c r="F120" s="970" t="s">
        <v>1122</v>
      </c>
      <c r="G120" s="956">
        <v>3391601</v>
      </c>
      <c r="H120" s="955" t="s">
        <v>1187</v>
      </c>
      <c r="I120" s="1000"/>
      <c r="J120" s="956"/>
      <c r="K120" s="955" t="s">
        <v>1588</v>
      </c>
      <c r="L120" s="970">
        <v>3016192591</v>
      </c>
      <c r="M120" s="955" t="s">
        <v>1123</v>
      </c>
      <c r="N120" s="955" t="s">
        <v>1796</v>
      </c>
      <c r="O120" s="955" t="s">
        <v>1585</v>
      </c>
      <c r="P120" s="955" t="s">
        <v>1585</v>
      </c>
      <c r="Q120" s="986">
        <v>2024</v>
      </c>
      <c r="R120" s="957" t="s">
        <v>166</v>
      </c>
      <c r="S120" s="982" t="s">
        <v>210</v>
      </c>
    </row>
    <row r="121" spans="2:19">
      <c r="B121" s="956">
        <v>15</v>
      </c>
      <c r="C121" s="955" t="s">
        <v>1057</v>
      </c>
      <c r="D121" s="955" t="s">
        <v>129</v>
      </c>
      <c r="E121" s="970" t="s">
        <v>1134</v>
      </c>
      <c r="F121" s="970" t="s">
        <v>1135</v>
      </c>
      <c r="G121" s="956">
        <v>15455962</v>
      </c>
      <c r="H121" s="955" t="s">
        <v>1187</v>
      </c>
      <c r="I121" s="1000"/>
      <c r="J121" s="956"/>
      <c r="K121" s="955" t="s">
        <v>1588</v>
      </c>
      <c r="L121" s="970">
        <v>3147929354</v>
      </c>
      <c r="M121" s="955" t="s">
        <v>1136</v>
      </c>
      <c r="N121" s="955" t="s">
        <v>1794</v>
      </c>
      <c r="O121" s="955" t="s">
        <v>1585</v>
      </c>
      <c r="P121" s="955" t="s">
        <v>1585</v>
      </c>
      <c r="Q121" s="986">
        <v>2024</v>
      </c>
      <c r="R121" s="957" t="s">
        <v>166</v>
      </c>
      <c r="S121" s="982" t="s">
        <v>210</v>
      </c>
    </row>
    <row r="122" spans="2:19">
      <c r="B122" s="956">
        <v>15</v>
      </c>
      <c r="C122" s="955" t="s">
        <v>1057</v>
      </c>
      <c r="D122" s="955" t="s">
        <v>129</v>
      </c>
      <c r="E122" s="970" t="s">
        <v>1149</v>
      </c>
      <c r="F122" s="970" t="s">
        <v>1547</v>
      </c>
      <c r="G122" s="956">
        <v>1027660423</v>
      </c>
      <c r="H122" s="955" t="s">
        <v>1187</v>
      </c>
      <c r="I122" s="1000"/>
      <c r="J122" s="956"/>
      <c r="K122" s="955" t="s">
        <v>1588</v>
      </c>
      <c r="L122" s="970">
        <v>3052770345</v>
      </c>
      <c r="M122" s="955" t="s">
        <v>1150</v>
      </c>
      <c r="N122" s="955" t="s">
        <v>1794</v>
      </c>
      <c r="O122" s="955" t="s">
        <v>1585</v>
      </c>
      <c r="P122" s="955" t="s">
        <v>1585</v>
      </c>
      <c r="Q122" s="986">
        <v>2024</v>
      </c>
      <c r="R122" s="957" t="s">
        <v>166</v>
      </c>
      <c r="S122" s="982" t="s">
        <v>210</v>
      </c>
    </row>
    <row r="123" spans="2:19">
      <c r="B123" s="956">
        <v>15</v>
      </c>
      <c r="C123" s="955" t="s">
        <v>1057</v>
      </c>
      <c r="D123" s="955" t="s">
        <v>129</v>
      </c>
      <c r="E123" s="970" t="s">
        <v>1161</v>
      </c>
      <c r="F123" s="970" t="s">
        <v>1162</v>
      </c>
      <c r="G123" s="956">
        <v>43826193</v>
      </c>
      <c r="H123" s="955" t="s">
        <v>1191</v>
      </c>
      <c r="I123" s="1000"/>
      <c r="J123" s="956"/>
      <c r="K123" s="955" t="s">
        <v>1588</v>
      </c>
      <c r="L123" s="970">
        <v>3004418251</v>
      </c>
      <c r="M123" s="955" t="s">
        <v>1163</v>
      </c>
      <c r="N123" s="955" t="s">
        <v>1161</v>
      </c>
      <c r="O123" s="955" t="s">
        <v>1585</v>
      </c>
      <c r="P123" s="955" t="s">
        <v>1585</v>
      </c>
      <c r="Q123" s="986">
        <v>2024</v>
      </c>
      <c r="R123" s="957" t="s">
        <v>166</v>
      </c>
      <c r="S123" s="982" t="s">
        <v>210</v>
      </c>
    </row>
    <row r="124" spans="2:19">
      <c r="B124" s="956">
        <v>15</v>
      </c>
      <c r="C124" s="955" t="s">
        <v>1057</v>
      </c>
      <c r="D124" s="955" t="s">
        <v>129</v>
      </c>
      <c r="E124" s="970" t="s">
        <v>1174</v>
      </c>
      <c r="F124" s="970" t="s">
        <v>1179</v>
      </c>
      <c r="G124" s="956">
        <v>43451994</v>
      </c>
      <c r="H124" s="955" t="s">
        <v>1191</v>
      </c>
      <c r="I124" s="1000"/>
      <c r="J124" s="956"/>
      <c r="K124" s="955" t="s">
        <v>1588</v>
      </c>
      <c r="L124" s="970">
        <v>3005731629</v>
      </c>
      <c r="M124" s="955" t="s">
        <v>1180</v>
      </c>
      <c r="N124" s="955"/>
      <c r="O124" s="955" t="s">
        <v>1585</v>
      </c>
      <c r="P124" s="955" t="s">
        <v>1585</v>
      </c>
      <c r="Q124" s="986">
        <v>2024</v>
      </c>
      <c r="R124" s="957" t="s">
        <v>166</v>
      </c>
      <c r="S124" s="987" t="s">
        <v>210</v>
      </c>
    </row>
    <row r="125" spans="2:19">
      <c r="B125" s="956">
        <v>50</v>
      </c>
      <c r="C125" s="955" t="s">
        <v>1837</v>
      </c>
      <c r="D125" s="955" t="s">
        <v>129</v>
      </c>
      <c r="E125" s="970" t="s">
        <v>1197</v>
      </c>
      <c r="F125" s="970" t="s">
        <v>1198</v>
      </c>
      <c r="G125" s="956">
        <v>98580736</v>
      </c>
      <c r="H125" s="955" t="s">
        <v>1187</v>
      </c>
      <c r="I125" s="1000">
        <v>25186</v>
      </c>
      <c r="J125" s="956">
        <f ca="1">DATEDIF(I125,TODAY(),"Y")</f>
        <v>57</v>
      </c>
      <c r="K125" s="955" t="s">
        <v>114</v>
      </c>
      <c r="L125" s="970">
        <v>3137586884</v>
      </c>
      <c r="M125" s="955" t="s">
        <v>1199</v>
      </c>
      <c r="N125" s="955" t="s">
        <v>1818</v>
      </c>
      <c r="O125" s="955" t="s">
        <v>333</v>
      </c>
      <c r="P125" s="955" t="s">
        <v>193</v>
      </c>
      <c r="Q125" s="986">
        <v>2008</v>
      </c>
      <c r="R125" s="957" t="s">
        <v>166</v>
      </c>
      <c r="S125" s="982" t="s">
        <v>210</v>
      </c>
    </row>
    <row r="126" spans="2:19">
      <c r="B126" s="956">
        <v>60</v>
      </c>
      <c r="C126" s="955" t="s">
        <v>1574</v>
      </c>
      <c r="D126" s="955" t="s">
        <v>129</v>
      </c>
      <c r="E126" s="970" t="s">
        <v>1200</v>
      </c>
      <c r="F126" s="970" t="s">
        <v>1208</v>
      </c>
      <c r="G126" s="956">
        <v>43560611</v>
      </c>
      <c r="H126" s="955" t="s">
        <v>1191</v>
      </c>
      <c r="I126" s="1000">
        <v>26206</v>
      </c>
      <c r="J126" s="956">
        <v>54</v>
      </c>
      <c r="K126" s="955" t="s">
        <v>1588</v>
      </c>
      <c r="L126" s="970">
        <v>3052874096</v>
      </c>
      <c r="M126" s="955" t="s">
        <v>1209</v>
      </c>
      <c r="N126" s="955" t="s">
        <v>1673</v>
      </c>
      <c r="O126" s="955" t="s">
        <v>333</v>
      </c>
      <c r="P126" s="955" t="s">
        <v>663</v>
      </c>
      <c r="Q126" s="986"/>
      <c r="R126" s="957" t="s">
        <v>166</v>
      </c>
      <c r="S126" s="982" t="s">
        <v>210</v>
      </c>
    </row>
    <row r="127" spans="2:19">
      <c r="B127" s="956">
        <v>60</v>
      </c>
      <c r="C127" s="955" t="s">
        <v>1574</v>
      </c>
      <c r="D127" s="955" t="s">
        <v>151</v>
      </c>
      <c r="E127" s="970" t="s">
        <v>1211</v>
      </c>
      <c r="F127" s="970" t="s">
        <v>1212</v>
      </c>
      <c r="G127" s="956">
        <v>6907687</v>
      </c>
      <c r="H127" s="955" t="s">
        <v>1187</v>
      </c>
      <c r="I127" s="1000"/>
      <c r="J127" s="956"/>
      <c r="K127" s="955" t="s">
        <v>1588</v>
      </c>
      <c r="L127" s="970">
        <v>3024030545</v>
      </c>
      <c r="M127" s="955" t="s">
        <v>1213</v>
      </c>
      <c r="N127" s="955" t="s">
        <v>1828</v>
      </c>
      <c r="O127" s="955" t="s">
        <v>1585</v>
      </c>
      <c r="P127" s="955" t="s">
        <v>1585</v>
      </c>
      <c r="Q127" s="986"/>
      <c r="R127" s="957" t="s">
        <v>166</v>
      </c>
      <c r="S127" s="982" t="s">
        <v>210</v>
      </c>
    </row>
    <row r="128" spans="2:19">
      <c r="B128" s="956">
        <v>60</v>
      </c>
      <c r="C128" s="955" t="s">
        <v>1574</v>
      </c>
      <c r="D128" s="955" t="s">
        <v>151</v>
      </c>
      <c r="E128" s="970" t="s">
        <v>1222</v>
      </c>
      <c r="F128" s="970" t="s">
        <v>1227</v>
      </c>
      <c r="G128" s="956">
        <v>21398672</v>
      </c>
      <c r="H128" s="955" t="s">
        <v>1191</v>
      </c>
      <c r="I128" s="1000"/>
      <c r="J128" s="956"/>
      <c r="K128" s="955" t="s">
        <v>1588</v>
      </c>
      <c r="L128" s="970">
        <v>3112054995</v>
      </c>
      <c r="M128" s="955"/>
      <c r="N128" s="955" t="s">
        <v>1274</v>
      </c>
      <c r="O128" s="955" t="s">
        <v>1585</v>
      </c>
      <c r="P128" s="955" t="s">
        <v>1585</v>
      </c>
      <c r="Q128" s="986"/>
      <c r="R128" s="957" t="s">
        <v>166</v>
      </c>
      <c r="S128" s="982" t="s">
        <v>210</v>
      </c>
    </row>
    <row r="129" spans="2:19">
      <c r="B129" s="956">
        <v>70</v>
      </c>
      <c r="C129" s="955" t="s">
        <v>1575</v>
      </c>
      <c r="D129" s="955" t="s">
        <v>129</v>
      </c>
      <c r="E129" s="970" t="s">
        <v>1244</v>
      </c>
      <c r="F129" s="970" t="s">
        <v>1245</v>
      </c>
      <c r="G129" s="956">
        <v>98579433</v>
      </c>
      <c r="H129" s="955" t="s">
        <v>1187</v>
      </c>
      <c r="I129" s="1000">
        <v>25656</v>
      </c>
      <c r="J129" s="956">
        <v>56</v>
      </c>
      <c r="K129" s="955" t="s">
        <v>56</v>
      </c>
      <c r="L129" s="970">
        <v>3003702460</v>
      </c>
      <c r="M129" s="955"/>
      <c r="N129" s="955" t="s">
        <v>1246</v>
      </c>
      <c r="O129" s="955" t="s">
        <v>333</v>
      </c>
      <c r="P129" s="955" t="s">
        <v>663</v>
      </c>
      <c r="Q129" s="986"/>
      <c r="R129" s="957" t="s">
        <v>166</v>
      </c>
      <c r="S129" s="982" t="s">
        <v>210</v>
      </c>
    </row>
    <row r="130" spans="2:19">
      <c r="B130" s="956">
        <v>70</v>
      </c>
      <c r="C130" s="955" t="s">
        <v>1575</v>
      </c>
      <c r="D130" s="955" t="s">
        <v>129</v>
      </c>
      <c r="E130" s="970" t="s">
        <v>1264</v>
      </c>
      <c r="F130" s="970" t="s">
        <v>1265</v>
      </c>
      <c r="G130" s="956">
        <v>98519446</v>
      </c>
      <c r="H130" s="955" t="s">
        <v>1187</v>
      </c>
      <c r="I130" s="1000">
        <v>26965</v>
      </c>
      <c r="J130" s="956">
        <v>52</v>
      </c>
      <c r="K130" s="955"/>
      <c r="L130" s="970">
        <v>3116371502</v>
      </c>
      <c r="M130" s="955" t="s">
        <v>1266</v>
      </c>
      <c r="N130" s="955" t="s">
        <v>1840</v>
      </c>
      <c r="O130" s="955" t="s">
        <v>333</v>
      </c>
      <c r="P130" s="955" t="s">
        <v>193</v>
      </c>
      <c r="Q130" s="986">
        <v>2004</v>
      </c>
      <c r="R130" s="957" t="s">
        <v>166</v>
      </c>
      <c r="S130" s="987" t="s">
        <v>210</v>
      </c>
    </row>
    <row r="131" spans="2:19">
      <c r="B131" s="956">
        <v>80</v>
      </c>
      <c r="C131" s="955" t="s">
        <v>1576</v>
      </c>
      <c r="D131" s="955" t="s">
        <v>151</v>
      </c>
      <c r="E131" s="970" t="s">
        <v>1292</v>
      </c>
      <c r="F131" s="970" t="s">
        <v>1293</v>
      </c>
      <c r="G131" s="956">
        <v>42796712</v>
      </c>
      <c r="H131" s="955" t="s">
        <v>1191</v>
      </c>
      <c r="I131" s="1000">
        <v>23199</v>
      </c>
      <c r="J131" s="956">
        <v>62</v>
      </c>
      <c r="K131" s="955"/>
      <c r="L131" s="970">
        <v>3136543658</v>
      </c>
      <c r="M131" s="955" t="s">
        <v>1294</v>
      </c>
      <c r="N131" s="955" t="s">
        <v>1291</v>
      </c>
      <c r="O131" s="955" t="s">
        <v>891</v>
      </c>
      <c r="P131" s="955" t="s">
        <v>1585</v>
      </c>
      <c r="Q131" s="986">
        <v>1994</v>
      </c>
      <c r="R131" s="957" t="s">
        <v>166</v>
      </c>
      <c r="S131" s="982" t="s">
        <v>210</v>
      </c>
    </row>
    <row r="132" spans="2:19">
      <c r="B132" s="956">
        <v>80</v>
      </c>
      <c r="C132" s="955" t="s">
        <v>1576</v>
      </c>
      <c r="D132" s="955" t="s">
        <v>151</v>
      </c>
      <c r="E132" s="970" t="s">
        <v>1318</v>
      </c>
      <c r="F132" s="970" t="s">
        <v>1331</v>
      </c>
      <c r="G132" s="956">
        <v>1128450550</v>
      </c>
      <c r="H132" s="955" t="s">
        <v>1191</v>
      </c>
      <c r="I132" s="1000">
        <v>32394</v>
      </c>
      <c r="J132" s="956">
        <v>37</v>
      </c>
      <c r="K132" s="955" t="s">
        <v>56</v>
      </c>
      <c r="L132" s="970">
        <v>3103610018</v>
      </c>
      <c r="M132" s="955" t="s">
        <v>1332</v>
      </c>
      <c r="N132" s="955" t="s">
        <v>1291</v>
      </c>
      <c r="O132" s="955" t="s">
        <v>333</v>
      </c>
      <c r="P132" s="955" t="s">
        <v>193</v>
      </c>
      <c r="Q132" s="986">
        <v>2003</v>
      </c>
      <c r="R132" s="957" t="s">
        <v>166</v>
      </c>
      <c r="S132" s="982" t="s">
        <v>210</v>
      </c>
    </row>
    <row r="133" spans="2:19">
      <c r="B133" s="956">
        <v>80</v>
      </c>
      <c r="C133" s="955" t="s">
        <v>1576</v>
      </c>
      <c r="D133" s="955" t="s">
        <v>151</v>
      </c>
      <c r="E133" s="970" t="s">
        <v>1333</v>
      </c>
      <c r="F133" s="970" t="s">
        <v>1334</v>
      </c>
      <c r="G133" s="956">
        <v>70513997</v>
      </c>
      <c r="H133" s="955" t="s">
        <v>1187</v>
      </c>
      <c r="I133" s="1000">
        <v>22949</v>
      </c>
      <c r="J133" s="956">
        <v>63</v>
      </c>
      <c r="K133" s="955" t="s">
        <v>73</v>
      </c>
      <c r="L133" s="970">
        <v>3137976716</v>
      </c>
      <c r="M133" s="955" t="s">
        <v>1951</v>
      </c>
      <c r="N133" s="955" t="s">
        <v>1291</v>
      </c>
      <c r="O133" s="955" t="s">
        <v>333</v>
      </c>
      <c r="P133" s="955" t="s">
        <v>461</v>
      </c>
      <c r="Q133" s="986">
        <v>2023</v>
      </c>
      <c r="R133" s="957" t="s">
        <v>166</v>
      </c>
      <c r="S133" s="982" t="s">
        <v>210</v>
      </c>
    </row>
    <row r="134" spans="2:19">
      <c r="B134" s="956">
        <v>80</v>
      </c>
      <c r="C134" s="955" t="s">
        <v>1576</v>
      </c>
      <c r="D134" s="955" t="s">
        <v>151</v>
      </c>
      <c r="E134" s="970" t="s">
        <v>1338</v>
      </c>
      <c r="F134" s="970" t="s">
        <v>1339</v>
      </c>
      <c r="G134" s="956">
        <v>43839339</v>
      </c>
      <c r="H134" s="955" t="s">
        <v>1191</v>
      </c>
      <c r="I134" s="1000">
        <v>28536</v>
      </c>
      <c r="J134" s="956">
        <v>48</v>
      </c>
      <c r="K134" s="955" t="s">
        <v>73</v>
      </c>
      <c r="L134" s="970">
        <v>3225191727</v>
      </c>
      <c r="M134" s="955" t="s">
        <v>1956</v>
      </c>
      <c r="N134" s="955" t="s">
        <v>1291</v>
      </c>
      <c r="O134" s="955" t="s">
        <v>164</v>
      </c>
      <c r="P134" s="955" t="s">
        <v>663</v>
      </c>
      <c r="Q134" s="986">
        <v>2023</v>
      </c>
      <c r="R134" s="957" t="s">
        <v>166</v>
      </c>
      <c r="S134" s="982" t="s">
        <v>210</v>
      </c>
    </row>
    <row r="135" spans="2:19">
      <c r="B135" s="956">
        <v>80</v>
      </c>
      <c r="C135" s="955" t="s">
        <v>1576</v>
      </c>
      <c r="D135" s="955" t="s">
        <v>151</v>
      </c>
      <c r="E135" s="970" t="s">
        <v>1344</v>
      </c>
      <c r="F135" s="970" t="s">
        <v>1946</v>
      </c>
      <c r="G135" s="956">
        <v>43686535</v>
      </c>
      <c r="H135" s="955" t="s">
        <v>1191</v>
      </c>
      <c r="I135" s="1000">
        <v>27326</v>
      </c>
      <c r="J135" s="956">
        <v>51</v>
      </c>
      <c r="K135" s="955"/>
      <c r="L135" s="970">
        <v>3206192983</v>
      </c>
      <c r="M135" s="955" t="s">
        <v>1961</v>
      </c>
      <c r="N135" s="955" t="s">
        <v>1291</v>
      </c>
      <c r="O135" s="955" t="s">
        <v>333</v>
      </c>
      <c r="P135" s="955" t="s">
        <v>663</v>
      </c>
      <c r="Q135" s="986">
        <v>2023</v>
      </c>
      <c r="R135" s="957" t="s">
        <v>166</v>
      </c>
      <c r="S135" s="982" t="s">
        <v>210</v>
      </c>
    </row>
    <row r="136" spans="2:19">
      <c r="B136" s="956">
        <v>80</v>
      </c>
      <c r="C136" s="955" t="s">
        <v>1576</v>
      </c>
      <c r="D136" s="955" t="s">
        <v>151</v>
      </c>
      <c r="E136" s="970" t="s">
        <v>1349</v>
      </c>
      <c r="F136" s="970" t="s">
        <v>1350</v>
      </c>
      <c r="G136" s="956">
        <v>43436190</v>
      </c>
      <c r="H136" s="955" t="s">
        <v>1191</v>
      </c>
      <c r="I136" s="1000">
        <v>23767</v>
      </c>
      <c r="J136" s="956">
        <v>61</v>
      </c>
      <c r="K136" s="955" t="s">
        <v>73</v>
      </c>
      <c r="L136" s="970">
        <v>3137152456</v>
      </c>
      <c r="M136" s="955" t="s">
        <v>1966</v>
      </c>
      <c r="N136" s="955" t="s">
        <v>1291</v>
      </c>
      <c r="O136" s="955" t="s">
        <v>164</v>
      </c>
      <c r="P136" s="955" t="s">
        <v>230</v>
      </c>
      <c r="Q136" s="986">
        <v>2023</v>
      </c>
      <c r="R136" s="957" t="s">
        <v>166</v>
      </c>
      <c r="S136" s="982" t="s">
        <v>210</v>
      </c>
    </row>
    <row r="137" spans="2:19">
      <c r="B137" s="956">
        <v>80</v>
      </c>
      <c r="C137" s="955" t="s">
        <v>1576</v>
      </c>
      <c r="D137" s="955" t="s">
        <v>151</v>
      </c>
      <c r="E137" s="970" t="s">
        <v>1352</v>
      </c>
      <c r="F137" s="970" t="s">
        <v>1353</v>
      </c>
      <c r="G137" s="956">
        <v>43840884</v>
      </c>
      <c r="H137" s="955" t="s">
        <v>1191</v>
      </c>
      <c r="I137" s="1000">
        <v>28783</v>
      </c>
      <c r="J137" s="956">
        <v>47</v>
      </c>
      <c r="K137" s="955" t="s">
        <v>56</v>
      </c>
      <c r="L137" s="970">
        <v>3007186261</v>
      </c>
      <c r="M137" s="955" t="s">
        <v>1354</v>
      </c>
      <c r="N137" s="955" t="s">
        <v>1291</v>
      </c>
      <c r="O137" s="955" t="s">
        <v>333</v>
      </c>
      <c r="P137" s="955" t="s">
        <v>663</v>
      </c>
      <c r="Q137" s="986">
        <v>2023</v>
      </c>
      <c r="R137" s="957" t="s">
        <v>166</v>
      </c>
      <c r="S137" s="982" t="s">
        <v>210</v>
      </c>
    </row>
    <row r="138" spans="2:19">
      <c r="B138" s="956">
        <v>80</v>
      </c>
      <c r="C138" s="955" t="s">
        <v>1576</v>
      </c>
      <c r="D138" s="955" t="s">
        <v>151</v>
      </c>
      <c r="E138" s="970" t="s">
        <v>1373</v>
      </c>
      <c r="F138" s="970" t="s">
        <v>1374</v>
      </c>
      <c r="G138" s="956">
        <v>30358567</v>
      </c>
      <c r="H138" s="955" t="s">
        <v>1191</v>
      </c>
      <c r="I138" s="1000">
        <v>29162</v>
      </c>
      <c r="J138" s="956">
        <v>46</v>
      </c>
      <c r="K138" s="955" t="s">
        <v>73</v>
      </c>
      <c r="L138" s="970">
        <v>3217183302</v>
      </c>
      <c r="M138" s="955" t="s">
        <v>1972</v>
      </c>
      <c r="N138" s="955" t="s">
        <v>1291</v>
      </c>
      <c r="O138" s="955" t="s">
        <v>891</v>
      </c>
      <c r="P138" s="955" t="s">
        <v>663</v>
      </c>
      <c r="Q138" s="986">
        <v>2023</v>
      </c>
      <c r="R138" s="957" t="s">
        <v>166</v>
      </c>
      <c r="S138" s="982" t="s">
        <v>210</v>
      </c>
    </row>
    <row r="139" spans="2:19">
      <c r="B139" s="956">
        <v>80</v>
      </c>
      <c r="C139" s="955" t="s">
        <v>1576</v>
      </c>
      <c r="D139" s="955" t="s">
        <v>151</v>
      </c>
      <c r="E139" s="970" t="s">
        <v>1377</v>
      </c>
      <c r="F139" s="970" t="s">
        <v>1378</v>
      </c>
      <c r="G139" s="956">
        <v>32525655</v>
      </c>
      <c r="H139" s="955" t="s">
        <v>1191</v>
      </c>
      <c r="I139" s="1000">
        <v>20448</v>
      </c>
      <c r="J139" s="956">
        <v>70</v>
      </c>
      <c r="K139" s="955" t="s">
        <v>212</v>
      </c>
      <c r="L139" s="970">
        <v>3053296188</v>
      </c>
      <c r="M139" s="955"/>
      <c r="N139" s="955" t="s">
        <v>1291</v>
      </c>
      <c r="O139" s="955" t="s">
        <v>891</v>
      </c>
      <c r="P139" s="955" t="s">
        <v>663</v>
      </c>
      <c r="Q139" s="986">
        <v>2023</v>
      </c>
      <c r="R139" s="957" t="s">
        <v>166</v>
      </c>
      <c r="S139" s="982" t="s">
        <v>210</v>
      </c>
    </row>
    <row r="140" spans="2:19">
      <c r="B140" s="956">
        <v>80</v>
      </c>
      <c r="C140" s="955" t="s">
        <v>1576</v>
      </c>
      <c r="D140" s="955" t="s">
        <v>151</v>
      </c>
      <c r="E140" s="970" t="s">
        <v>1383</v>
      </c>
      <c r="F140" s="970" t="s">
        <v>1385</v>
      </c>
      <c r="G140" s="956">
        <v>1026159302</v>
      </c>
      <c r="H140" s="955" t="s">
        <v>1191</v>
      </c>
      <c r="I140" s="1000">
        <v>35887</v>
      </c>
      <c r="J140" s="956">
        <v>28</v>
      </c>
      <c r="K140" s="955" t="s">
        <v>212</v>
      </c>
      <c r="L140" s="970">
        <v>3103512817</v>
      </c>
      <c r="M140" s="955" t="s">
        <v>1975</v>
      </c>
      <c r="N140" s="955" t="s">
        <v>1842</v>
      </c>
      <c r="O140" s="955" t="s">
        <v>192</v>
      </c>
      <c r="P140" s="955" t="s">
        <v>663</v>
      </c>
      <c r="Q140" s="986">
        <v>2023</v>
      </c>
      <c r="R140" s="957" t="s">
        <v>166</v>
      </c>
      <c r="S140" s="982" t="s">
        <v>210</v>
      </c>
    </row>
    <row r="141" spans="2:19">
      <c r="B141" s="956">
        <v>80</v>
      </c>
      <c r="C141" s="955" t="s">
        <v>1576</v>
      </c>
      <c r="D141" s="955" t="s">
        <v>151</v>
      </c>
      <c r="E141" s="970" t="s">
        <v>1553</v>
      </c>
      <c r="F141" s="970" t="s">
        <v>1552</v>
      </c>
      <c r="G141" s="956">
        <v>1040747066</v>
      </c>
      <c r="H141" s="955" t="s">
        <v>1187</v>
      </c>
      <c r="I141" s="1000">
        <v>34388</v>
      </c>
      <c r="J141" s="956">
        <v>32</v>
      </c>
      <c r="K141" s="955" t="s">
        <v>56</v>
      </c>
      <c r="L141" s="970">
        <v>3006997988</v>
      </c>
      <c r="M141" s="955" t="s">
        <v>1979</v>
      </c>
      <c r="N141" s="955"/>
      <c r="O141" s="955" t="s">
        <v>164</v>
      </c>
      <c r="P141" s="955" t="s">
        <v>663</v>
      </c>
      <c r="Q141" s="986">
        <v>2023</v>
      </c>
      <c r="R141" s="957" t="s">
        <v>166</v>
      </c>
      <c r="S141" s="982" t="s">
        <v>210</v>
      </c>
    </row>
    <row r="142" spans="2:19">
      <c r="B142" s="956">
        <v>80</v>
      </c>
      <c r="C142" s="955" t="s">
        <v>1576</v>
      </c>
      <c r="D142" s="955" t="s">
        <v>151</v>
      </c>
      <c r="E142" s="970" t="s">
        <v>1396</v>
      </c>
      <c r="F142" s="970" t="s">
        <v>1937</v>
      </c>
      <c r="G142" s="956">
        <v>21396441</v>
      </c>
      <c r="H142" s="955" t="s">
        <v>1191</v>
      </c>
      <c r="I142" s="1000">
        <v>21484</v>
      </c>
      <c r="J142" s="956">
        <v>67</v>
      </c>
      <c r="K142" s="955" t="s">
        <v>73</v>
      </c>
      <c r="L142" s="970">
        <v>3175490026</v>
      </c>
      <c r="M142" s="955" t="s">
        <v>1985</v>
      </c>
      <c r="N142" s="955" t="s">
        <v>1291</v>
      </c>
      <c r="O142" s="955" t="s">
        <v>876</v>
      </c>
      <c r="P142" s="955" t="s">
        <v>663</v>
      </c>
      <c r="Q142" s="986">
        <v>2023</v>
      </c>
      <c r="R142" s="957" t="s">
        <v>166</v>
      </c>
      <c r="S142" s="982" t="s">
        <v>210</v>
      </c>
    </row>
    <row r="143" spans="2:19">
      <c r="B143" s="956">
        <v>80</v>
      </c>
      <c r="C143" s="955" t="s">
        <v>1576</v>
      </c>
      <c r="D143" s="955" t="s">
        <v>151</v>
      </c>
      <c r="E143" s="970" t="s">
        <v>1397</v>
      </c>
      <c r="F143" s="970" t="s">
        <v>1549</v>
      </c>
      <c r="G143" s="956">
        <v>15364317</v>
      </c>
      <c r="H143" s="955" t="s">
        <v>1187</v>
      </c>
      <c r="I143" s="1000">
        <v>20825</v>
      </c>
      <c r="J143" s="956">
        <v>69</v>
      </c>
      <c r="K143" s="955" t="s">
        <v>73</v>
      </c>
      <c r="L143" s="970">
        <v>3148369082</v>
      </c>
      <c r="M143" s="955" t="s">
        <v>1989</v>
      </c>
      <c r="N143" s="955" t="s">
        <v>1291</v>
      </c>
      <c r="O143" s="955" t="s">
        <v>333</v>
      </c>
      <c r="P143" s="955" t="s">
        <v>230</v>
      </c>
      <c r="Q143" s="986">
        <v>2023</v>
      </c>
      <c r="R143" s="957" t="s">
        <v>166</v>
      </c>
      <c r="S143" s="982" t="s">
        <v>210</v>
      </c>
    </row>
    <row r="144" spans="2:19">
      <c r="B144" s="956">
        <v>80</v>
      </c>
      <c r="C144" s="955" t="s">
        <v>1576</v>
      </c>
      <c r="D144" s="955" t="s">
        <v>151</v>
      </c>
      <c r="E144" s="970" t="s">
        <v>1401</v>
      </c>
      <c r="F144" s="970" t="s">
        <v>1546</v>
      </c>
      <c r="G144" s="956">
        <v>98657879</v>
      </c>
      <c r="H144" s="955" t="s">
        <v>1187</v>
      </c>
      <c r="I144" s="1000">
        <v>27641</v>
      </c>
      <c r="J144" s="956">
        <v>50</v>
      </c>
      <c r="K144" s="955" t="s">
        <v>73</v>
      </c>
      <c r="L144" s="970">
        <v>3022182216</v>
      </c>
      <c r="M144" s="955" t="s">
        <v>1990</v>
      </c>
      <c r="N144" s="955" t="s">
        <v>1844</v>
      </c>
      <c r="O144" s="955" t="s">
        <v>333</v>
      </c>
      <c r="P144" s="955" t="s">
        <v>663</v>
      </c>
      <c r="Q144" s="986">
        <v>2023</v>
      </c>
      <c r="R144" s="957" t="s">
        <v>166</v>
      </c>
      <c r="S144" s="982" t="s">
        <v>210</v>
      </c>
    </row>
    <row r="145" spans="2:19">
      <c r="B145" s="956">
        <v>80</v>
      </c>
      <c r="C145" s="955" t="s">
        <v>1576</v>
      </c>
      <c r="D145" s="955" t="s">
        <v>151</v>
      </c>
      <c r="E145" s="970" t="s">
        <v>1403</v>
      </c>
      <c r="F145" s="970" t="s">
        <v>1407</v>
      </c>
      <c r="G145" s="956">
        <v>71274890</v>
      </c>
      <c r="H145" s="955" t="s">
        <v>1187</v>
      </c>
      <c r="I145" s="1000">
        <v>30231</v>
      </c>
      <c r="J145" s="956">
        <v>43</v>
      </c>
      <c r="K145" s="955" t="s">
        <v>56</v>
      </c>
      <c r="L145" s="970">
        <v>3013312081</v>
      </c>
      <c r="M145" s="955" t="s">
        <v>1993</v>
      </c>
      <c r="N145" s="955" t="s">
        <v>1291</v>
      </c>
      <c r="O145" s="955" t="s">
        <v>333</v>
      </c>
      <c r="P145" s="955" t="s">
        <v>193</v>
      </c>
      <c r="Q145" s="986">
        <v>2023</v>
      </c>
      <c r="R145" s="957" t="s">
        <v>166</v>
      </c>
      <c r="S145" s="987" t="s">
        <v>210</v>
      </c>
    </row>
    <row r="146" spans="2:19">
      <c r="B146" s="956">
        <v>90</v>
      </c>
      <c r="C146" s="955" t="s">
        <v>1577</v>
      </c>
      <c r="D146" s="955" t="s">
        <v>151</v>
      </c>
      <c r="E146" s="970" t="s">
        <v>1411</v>
      </c>
      <c r="F146" s="970" t="s">
        <v>1412</v>
      </c>
      <c r="G146" s="956">
        <v>1034657013</v>
      </c>
      <c r="H146" s="955" t="s">
        <v>1187</v>
      </c>
      <c r="I146" s="1000">
        <v>38105</v>
      </c>
      <c r="J146" s="956">
        <v>22</v>
      </c>
      <c r="K146" s="955" t="s">
        <v>1588</v>
      </c>
      <c r="L146" s="970">
        <v>3007071660</v>
      </c>
      <c r="M146" s="985" t="s">
        <v>1413</v>
      </c>
      <c r="N146" s="955"/>
      <c r="O146" s="955" t="s">
        <v>192</v>
      </c>
      <c r="P146" s="955" t="s">
        <v>663</v>
      </c>
      <c r="Q146" s="986">
        <v>45918</v>
      </c>
      <c r="R146" s="957" t="s">
        <v>166</v>
      </c>
      <c r="S146" s="982" t="s">
        <v>210</v>
      </c>
    </row>
    <row r="147" spans="2:19">
      <c r="B147" s="956">
        <v>90</v>
      </c>
      <c r="C147" s="955" t="s">
        <v>1577</v>
      </c>
      <c r="D147" s="955" t="s">
        <v>151</v>
      </c>
      <c r="E147" s="970" t="s">
        <v>1425</v>
      </c>
      <c r="F147" s="970" t="s">
        <v>1434</v>
      </c>
      <c r="G147" s="956">
        <v>1017160534</v>
      </c>
      <c r="H147" s="955" t="s">
        <v>1191</v>
      </c>
      <c r="I147" s="1000">
        <v>32047</v>
      </c>
      <c r="J147" s="956">
        <v>38</v>
      </c>
      <c r="K147" s="955" t="s">
        <v>1588</v>
      </c>
      <c r="L147" s="970">
        <v>3137150000</v>
      </c>
      <c r="M147" s="955" t="s">
        <v>1435</v>
      </c>
      <c r="N147" s="955"/>
      <c r="O147" s="955" t="s">
        <v>164</v>
      </c>
      <c r="P147" s="955" t="s">
        <v>663</v>
      </c>
      <c r="Q147" s="986">
        <v>45916</v>
      </c>
      <c r="R147" s="957" t="s">
        <v>166</v>
      </c>
      <c r="S147" s="982" t="s">
        <v>210</v>
      </c>
    </row>
    <row r="148" spans="2:19">
      <c r="B148" s="956">
        <v>90</v>
      </c>
      <c r="C148" s="955" t="s">
        <v>1577</v>
      </c>
      <c r="D148" s="955" t="s">
        <v>151</v>
      </c>
      <c r="E148" s="970" t="s">
        <v>1440</v>
      </c>
      <c r="F148" s="970" t="s">
        <v>1443</v>
      </c>
      <c r="G148" s="956">
        <v>1036925118</v>
      </c>
      <c r="H148" s="955" t="s">
        <v>1191</v>
      </c>
      <c r="I148" s="1000">
        <v>31495</v>
      </c>
      <c r="J148" s="956">
        <v>40</v>
      </c>
      <c r="K148" s="955" t="s">
        <v>1588</v>
      </c>
      <c r="L148" s="970">
        <v>3017141692</v>
      </c>
      <c r="M148" s="955" t="s">
        <v>1444</v>
      </c>
      <c r="N148" s="955" t="s">
        <v>1440</v>
      </c>
      <c r="O148" s="955" t="s">
        <v>164</v>
      </c>
      <c r="P148" s="955" t="s">
        <v>663</v>
      </c>
      <c r="Q148" s="986">
        <v>45922</v>
      </c>
      <c r="R148" s="957" t="s">
        <v>166</v>
      </c>
      <c r="S148" s="982" t="s">
        <v>210</v>
      </c>
    </row>
    <row r="149" spans="2:19">
      <c r="B149" s="956">
        <v>90</v>
      </c>
      <c r="C149" s="955" t="s">
        <v>1577</v>
      </c>
      <c r="D149" s="955" t="s">
        <v>151</v>
      </c>
      <c r="E149" s="970" t="s">
        <v>2291</v>
      </c>
      <c r="F149" s="970" t="s">
        <v>1460</v>
      </c>
      <c r="G149" s="956">
        <v>1034924532</v>
      </c>
      <c r="H149" s="955" t="s">
        <v>1191</v>
      </c>
      <c r="I149" s="1000">
        <v>37318</v>
      </c>
      <c r="J149" s="956">
        <v>24</v>
      </c>
      <c r="K149" s="955" t="s">
        <v>1588</v>
      </c>
      <c r="L149" s="970">
        <v>3177551180</v>
      </c>
      <c r="M149" s="955" t="s">
        <v>1461</v>
      </c>
      <c r="N149" s="955" t="s">
        <v>1709</v>
      </c>
      <c r="O149" s="955" t="s">
        <v>891</v>
      </c>
      <c r="P149" s="955" t="s">
        <v>461</v>
      </c>
      <c r="Q149" s="986">
        <v>45923</v>
      </c>
      <c r="R149" s="957" t="s">
        <v>166</v>
      </c>
      <c r="S149" s="982" t="s">
        <v>210</v>
      </c>
    </row>
    <row r="150" spans="2:19">
      <c r="B150" s="956">
        <v>90</v>
      </c>
      <c r="C150" s="955" t="s">
        <v>1577</v>
      </c>
      <c r="D150" s="955" t="s">
        <v>151</v>
      </c>
      <c r="E150" s="970" t="s">
        <v>1464</v>
      </c>
      <c r="F150" s="970" t="s">
        <v>1465</v>
      </c>
      <c r="G150" s="956">
        <v>1128416953</v>
      </c>
      <c r="H150" s="955" t="s">
        <v>1191</v>
      </c>
      <c r="I150" s="1000">
        <v>32154</v>
      </c>
      <c r="J150" s="956">
        <v>38</v>
      </c>
      <c r="K150" s="955" t="s">
        <v>1588</v>
      </c>
      <c r="L150" s="970">
        <v>3137062693</v>
      </c>
      <c r="M150" s="955" t="s">
        <v>1466</v>
      </c>
      <c r="N150" s="955" t="s">
        <v>1467</v>
      </c>
      <c r="O150" s="955" t="s">
        <v>333</v>
      </c>
      <c r="P150" s="955" t="s">
        <v>663</v>
      </c>
      <c r="Q150" s="986">
        <v>45929</v>
      </c>
      <c r="R150" s="957" t="s">
        <v>166</v>
      </c>
      <c r="S150" s="982" t="s">
        <v>210</v>
      </c>
    </row>
    <row r="151" spans="2:19">
      <c r="B151" s="956">
        <v>90</v>
      </c>
      <c r="C151" s="955" t="s">
        <v>1577</v>
      </c>
      <c r="D151" s="955" t="s">
        <v>151</v>
      </c>
      <c r="E151" s="970" t="s">
        <v>1477</v>
      </c>
      <c r="F151" s="970" t="s">
        <v>1478</v>
      </c>
      <c r="G151" s="956">
        <v>1036948476</v>
      </c>
      <c r="H151" s="955" t="s">
        <v>1187</v>
      </c>
      <c r="I151" s="1000">
        <v>34298</v>
      </c>
      <c r="J151" s="956">
        <v>32</v>
      </c>
      <c r="K151" s="955" t="s">
        <v>1588</v>
      </c>
      <c r="L151" s="970">
        <v>3204457209</v>
      </c>
      <c r="M151" s="955" t="s">
        <v>1479</v>
      </c>
      <c r="N151" s="955" t="s">
        <v>1440</v>
      </c>
      <c r="O151" s="955" t="s">
        <v>333</v>
      </c>
      <c r="P151" s="955" t="s">
        <v>663</v>
      </c>
      <c r="Q151" s="986">
        <v>45929</v>
      </c>
      <c r="R151" s="957" t="s">
        <v>166</v>
      </c>
      <c r="S151" s="982" t="s">
        <v>210</v>
      </c>
    </row>
    <row r="152" spans="2:19">
      <c r="B152" s="956">
        <v>90</v>
      </c>
      <c r="C152" s="955" t="s">
        <v>1577</v>
      </c>
      <c r="D152" s="955" t="s">
        <v>151</v>
      </c>
      <c r="E152" s="970" t="s">
        <v>1490</v>
      </c>
      <c r="F152" s="970" t="s">
        <v>1550</v>
      </c>
      <c r="G152" s="956">
        <v>71378194</v>
      </c>
      <c r="H152" s="955" t="s">
        <v>1187</v>
      </c>
      <c r="I152" s="1000">
        <v>29837</v>
      </c>
      <c r="J152" s="956">
        <v>44</v>
      </c>
      <c r="K152" s="955" t="s">
        <v>1588</v>
      </c>
      <c r="L152" s="970">
        <v>3207595699</v>
      </c>
      <c r="M152" s="955" t="s">
        <v>1491</v>
      </c>
      <c r="N152" s="955" t="s">
        <v>1492</v>
      </c>
      <c r="O152" s="955" t="s">
        <v>333</v>
      </c>
      <c r="P152" s="955" t="s">
        <v>663</v>
      </c>
      <c r="Q152" s="986">
        <v>45929</v>
      </c>
      <c r="R152" s="957" t="s">
        <v>166</v>
      </c>
      <c r="S152" s="982" t="s">
        <v>210</v>
      </c>
    </row>
    <row r="153" spans="2:19">
      <c r="B153" s="956">
        <v>90</v>
      </c>
      <c r="C153" s="955" t="s">
        <v>1577</v>
      </c>
      <c r="D153" s="955" t="s">
        <v>151</v>
      </c>
      <c r="E153" s="970" t="s">
        <v>1500</v>
      </c>
      <c r="F153" s="970" t="s">
        <v>1501</v>
      </c>
      <c r="G153" s="956">
        <v>70753573</v>
      </c>
      <c r="H153" s="955" t="s">
        <v>1187</v>
      </c>
      <c r="I153" s="1000">
        <v>26225</v>
      </c>
      <c r="J153" s="956">
        <v>54</v>
      </c>
      <c r="K153" s="955" t="s">
        <v>1588</v>
      </c>
      <c r="L153" s="970">
        <v>3217423348</v>
      </c>
      <c r="M153" s="955" t="s">
        <v>1502</v>
      </c>
      <c r="N153" s="955" t="s">
        <v>1849</v>
      </c>
      <c r="O153" s="955" t="s">
        <v>333</v>
      </c>
      <c r="P153" s="955" t="s">
        <v>663</v>
      </c>
      <c r="Q153" s="986">
        <v>45929</v>
      </c>
      <c r="R153" s="957" t="s">
        <v>166</v>
      </c>
      <c r="S153" s="982" t="s">
        <v>210</v>
      </c>
    </row>
    <row r="154" spans="2:19">
      <c r="B154" s="956">
        <v>90</v>
      </c>
      <c r="C154" s="955" t="s">
        <v>1577</v>
      </c>
      <c r="D154" s="955" t="s">
        <v>151</v>
      </c>
      <c r="E154" s="970" t="s">
        <v>1513</v>
      </c>
      <c r="F154" s="970" t="s">
        <v>1514</v>
      </c>
      <c r="G154" s="956">
        <v>43711231</v>
      </c>
      <c r="H154" s="955" t="s">
        <v>1191</v>
      </c>
      <c r="I154" s="1000">
        <v>31246</v>
      </c>
      <c r="J154" s="956">
        <v>40</v>
      </c>
      <c r="K154" s="955" t="s">
        <v>1588</v>
      </c>
      <c r="L154" s="970">
        <v>3128314268</v>
      </c>
      <c r="M154" s="955" t="s">
        <v>1515</v>
      </c>
      <c r="N154" s="955" t="s">
        <v>1516</v>
      </c>
      <c r="O154" s="955" t="s">
        <v>333</v>
      </c>
      <c r="P154" s="955" t="s">
        <v>193</v>
      </c>
      <c r="Q154" s="986">
        <v>45929</v>
      </c>
      <c r="R154" s="957" t="s">
        <v>166</v>
      </c>
      <c r="S154" s="982" t="s">
        <v>210</v>
      </c>
    </row>
    <row r="155" spans="2:19">
      <c r="B155" s="980">
        <v>90</v>
      </c>
      <c r="C155" s="977" t="s">
        <v>1577</v>
      </c>
      <c r="D155" s="977" t="s">
        <v>151</v>
      </c>
      <c r="E155" s="978" t="s">
        <v>1536</v>
      </c>
      <c r="F155" s="978" t="s">
        <v>1551</v>
      </c>
      <c r="G155" s="980">
        <v>43814556</v>
      </c>
      <c r="H155" s="977" t="s">
        <v>1191</v>
      </c>
      <c r="I155" s="1002">
        <v>27154</v>
      </c>
      <c r="J155" s="980">
        <v>52</v>
      </c>
      <c r="K155" s="977" t="s">
        <v>1588</v>
      </c>
      <c r="L155" s="978">
        <v>3013892131</v>
      </c>
      <c r="M155" s="977" t="s">
        <v>1537</v>
      </c>
      <c r="N155" s="977" t="s">
        <v>1291</v>
      </c>
      <c r="O155" s="977" t="s">
        <v>333</v>
      </c>
      <c r="P155" s="977" t="s">
        <v>230</v>
      </c>
      <c r="Q155" s="1006">
        <v>45945</v>
      </c>
      <c r="R155" s="981" t="s">
        <v>166</v>
      </c>
      <c r="S155" s="982" t="s">
        <v>210</v>
      </c>
    </row>
  </sheetData>
  <conditionalFormatting sqref="G14 G4">
    <cfRule type="expression" dxfId="37" priority="6">
      <formula>COUNTIF(#REF!, G5)&gt;1</formula>
    </cfRule>
  </conditionalFormatting>
  <conditionalFormatting sqref="G14 G4">
    <cfRule type="expression" dxfId="36" priority="7">
      <formula>COUNTIF(#REF!, #REF!)&gt;1</formula>
    </cfRule>
  </conditionalFormatting>
  <conditionalFormatting sqref="G8 G5">
    <cfRule type="expression" dxfId="35" priority="5">
      <formula>COUNTIF(#REF!, G7)&gt;1</formula>
    </cfRule>
  </conditionalFormatting>
  <conditionalFormatting sqref="G15 G6">
    <cfRule type="expression" dxfId="34" priority="4">
      <formula>COUNTIF(#REF!, G5)&gt;1</formula>
    </cfRule>
  </conditionalFormatting>
  <conditionalFormatting sqref="G10 G7">
    <cfRule type="expression" dxfId="33" priority="3">
      <formula>COUNTIF(#REF!, G10)&gt;1</formula>
    </cfRule>
  </conditionalFormatting>
  <conditionalFormatting sqref="G16 G11:G13 G9">
    <cfRule type="expression" dxfId="32" priority="2">
      <formula>COUNTIF(#REF!, G14)&gt;1</formula>
    </cfRule>
  </conditionalFormatting>
  <conditionalFormatting sqref="G17">
    <cfRule type="expression" dxfId="31" priority="1">
      <formula>COUNTIF(#REF!, G11)&gt;1</formula>
    </cfRule>
  </conditionalFormatting>
  <dataValidations count="21">
    <dataValidation type="list" allowBlank="1" showInputMessage="1" showErrorMessage="1" sqref="O3:P17" xr:uid="{70A3B9A3-5C1D-4282-AF1B-957331FEEDC1}">
      <formula1>#REF!</formula1>
    </dataValidation>
    <dataValidation type="list" allowBlank="1" showInputMessage="1" showErrorMessage="1" sqref="P31:P45" xr:uid="{9148AEC8-B8E5-4EEB-993E-1E756506BB00}">
      <formula1>$B$13:$B$38</formula1>
    </dataValidation>
    <dataValidation type="list" allowBlank="1" showInputMessage="1" showErrorMessage="1" sqref="N31:N45" xr:uid="{49149950-F397-4865-980D-F0965145BAB8}">
      <formula1>$A$21:$A$37</formula1>
    </dataValidation>
    <dataValidation type="list" allowBlank="1" showInputMessage="1" showErrorMessage="1" sqref="N3 N11 N13 N131:N145" xr:uid="{D7DB0290-04F9-4C95-AF71-AF0E0754CAD7}">
      <formula1>$A$21:$A$31</formula1>
    </dataValidation>
    <dataValidation type="list" allowBlank="1" showInputMessage="1" showErrorMessage="1" sqref="N4:N10 N12 N14:N17 N110:N124" xr:uid="{C1FBEA46-10E1-4215-9536-874C209708A5}">
      <formula1>$A$21:$A$30</formula1>
    </dataValidation>
    <dataValidation type="list" allowBlank="1" showInputMessage="1" showErrorMessage="1" sqref="P18:P30" xr:uid="{7849B054-44C1-4413-9B5A-C5AE594FEA77}">
      <formula1>$B$13:$B$37</formula1>
    </dataValidation>
    <dataValidation type="list" allowBlank="1" showInputMessage="1" showErrorMessage="1" sqref="N18:N30 N107" xr:uid="{3F0578FF-400C-4B07-9AF9-E5145644D5B6}">
      <formula1>$A$21:$A$34</formula1>
    </dataValidation>
    <dataValidation type="list" allowBlank="1" showInputMessage="1" showErrorMessage="1" sqref="N46 N67:N84 N86:N102" xr:uid="{B3E9CCF8-062B-4B6D-99E0-4CF5F8862F6D}">
      <formula1>$A$21:$A$39</formula1>
    </dataValidation>
    <dataValidation type="list" allowBlank="1" showInputMessage="1" showErrorMessage="1" sqref="N47:N48" xr:uid="{F74F3BE2-54DE-4C43-889A-62BE79D74F82}">
      <formula1>$A$21:$A$33</formula1>
    </dataValidation>
    <dataValidation type="list" allowBlank="1" showInputMessage="1" showErrorMessage="1" sqref="F67:F68 D3:D155" xr:uid="{A77565DD-F232-4667-9027-9CC635E4309A}">
      <formula1>$A$1:$A$3</formula1>
    </dataValidation>
    <dataValidation type="list" allowBlank="1" showInputMessage="1" showErrorMessage="1" sqref="K3:K84 K86:K155" xr:uid="{BCB3B12F-8622-4E2C-9DDB-400F80F673A5}">
      <formula1>$A$8:$A$17</formula1>
    </dataValidation>
    <dataValidation type="list" allowBlank="1" showInputMessage="1" showErrorMessage="1" sqref="N49:N66" xr:uid="{079BC681-31BC-472A-A6F9-F09A25270943}">
      <formula1>$A$21:$A$46</formula1>
    </dataValidation>
    <dataValidation type="list" allowBlank="1" showInputMessage="1" showErrorMessage="1" sqref="N103:N105" xr:uid="{5009CDC7-461D-4892-A4D9-87816F864435}">
      <formula1>$A$21:$A$38</formula1>
    </dataValidation>
    <dataValidation type="list" allowBlank="1" showInputMessage="1" showErrorMessage="1" sqref="N106" xr:uid="{8E111770-B3B6-47E8-80BC-FD74BEDA1C9A}">
      <formula1>$A$21:$A$41</formula1>
    </dataValidation>
    <dataValidation type="list" allowBlank="1" showInputMessage="1" showErrorMessage="1" sqref="N108:N109 N126:N128" xr:uid="{C57386C8-4072-417B-9E38-107D5447DB3B}">
      <formula1>$A$21:$A$40</formula1>
    </dataValidation>
    <dataValidation type="list" allowBlank="1" showInputMessage="1" showErrorMessage="1" sqref="N125 N129:N130" xr:uid="{935BF4BB-3829-4499-8C83-4787514BFA73}">
      <formula1>$A$21:$A$29</formula1>
    </dataValidation>
    <dataValidation type="list" allowBlank="1" showInputMessage="1" showErrorMessage="1" sqref="R3:R155" xr:uid="{390C9A9D-4DC0-4278-A8BB-A841E19FB6B1}">
      <formula1>$A$18:$A$20</formula1>
    </dataValidation>
    <dataValidation type="list" allowBlank="1" showInputMessage="1" showErrorMessage="1" sqref="H3:H155" xr:uid="{8D9D44B4-33C0-4EB6-8733-305B0231B666}">
      <formula1>$A$4:$A$7</formula1>
    </dataValidation>
    <dataValidation type="list" allowBlank="1" showInputMessage="1" showErrorMessage="1" sqref="O18:O155" xr:uid="{FC31DD2E-52EE-4EB5-89BC-02C4B9119B2C}">
      <formula1>$B$5:$B$11</formula1>
    </dataValidation>
    <dataValidation type="list" allowBlank="1" showInputMessage="1" showErrorMessage="1" sqref="P46:P155" xr:uid="{126A44C1-B113-4B34-AFEA-CC2DB8C2D5D3}">
      <formula1>$B$13:$B$39</formula1>
    </dataValidation>
    <dataValidation type="list" allowBlank="1" showInputMessage="1" showErrorMessage="1" sqref="N146:N155" xr:uid="{96FDC70C-B09A-468F-97C1-47168A82AD52}">
      <formula1>$A$21:$A$32</formula1>
    </dataValidation>
  </dataValidations>
  <hyperlinks>
    <hyperlink ref="M3" r:id="rId1" xr:uid="{DD5FF734-11A6-4D16-AFBA-A6DCAE5B0D15}"/>
    <hyperlink ref="M4" r:id="rId2" xr:uid="{4DCD436A-D7B4-4745-BF09-47ADB2B22A8D}"/>
    <hyperlink ref="M19" r:id="rId3" xr:uid="{B33A60EF-ED93-4D79-BF67-480FDB0477DE}"/>
    <hyperlink ref="M29" r:id="rId4" xr:uid="{0C1F9F49-EC27-4961-A1A9-785C40285D4F}"/>
    <hyperlink ref="M30" r:id="rId5" xr:uid="{34D16637-D7D6-44C7-B6CA-D726752EEEF9}"/>
    <hyperlink ref="M35" r:id="rId6" xr:uid="{C88054EB-4E70-408F-9BC0-E82082A5BB75}"/>
    <hyperlink ref="M37" r:id="rId7" xr:uid="{EEB8D900-16D0-42E5-B26E-C0D5E545B8C9}"/>
    <hyperlink ref="M50" r:id="rId8" xr:uid="{BF80449C-54E3-498B-AA25-A721E2B1815D}"/>
    <hyperlink ref="M52" r:id="rId9" xr:uid="{440C5B88-4B6B-4533-B3E6-1A0D9FF2A9AD}"/>
    <hyperlink ref="M53" r:id="rId10" xr:uid="{D7ABF8AF-AAD9-4EA3-A78E-E03102E68F28}"/>
    <hyperlink ref="M54" r:id="rId11" xr:uid="{1D32E9B7-21CD-4804-8906-A97284BFF2E8}"/>
    <hyperlink ref="M85" r:id="rId12" display="mailto:crisrisard87@gmail.com" xr:uid="{71D6196E-FE70-407C-BAE5-06F3B7183AD4}"/>
    <hyperlink ref="M95" r:id="rId13" xr:uid="{FFCADDC5-7238-4644-88F0-792DB5401C52}"/>
    <hyperlink ref="M133" r:id="rId14" xr:uid="{FD4E6440-0EA9-4EAE-A8CB-A0941E258191}"/>
    <hyperlink ref="M134" r:id="rId15" xr:uid="{47F97EDE-EA0C-4AE9-B3CE-4D602A61EAD6}"/>
    <hyperlink ref="M135" r:id="rId16" xr:uid="{E2AEA1CA-BD3D-4BB0-B44F-E9EBCB7257AC}"/>
    <hyperlink ref="M136" r:id="rId17" xr:uid="{78D5A5D9-65D2-470F-B67A-80857BB61482}"/>
    <hyperlink ref="M138" r:id="rId18" xr:uid="{A0B0F952-C5D7-4719-801B-9345DD6B842B}"/>
    <hyperlink ref="M140" r:id="rId19" xr:uid="{BE00B9CF-926F-4E9E-B8C3-22E4F9945CE3}"/>
    <hyperlink ref="M141" r:id="rId20" xr:uid="{30053472-E024-488C-8A0F-0D9F704988DF}"/>
    <hyperlink ref="M142" r:id="rId21" xr:uid="{FE2BEB42-8F22-4E1A-B3E8-5A7C4C76A897}"/>
    <hyperlink ref="M143" r:id="rId22" xr:uid="{1086F43F-D1AE-4582-895E-AEB47EE4DBCE}"/>
    <hyperlink ref="M144" r:id="rId23" xr:uid="{B51AEC72-60E9-460F-9769-AA1524457E76}"/>
    <hyperlink ref="M145" r:id="rId24" xr:uid="{A29CD087-5270-46F6-BAF1-2AB4FDD320D8}"/>
    <hyperlink ref="M146" r:id="rId25" xr:uid="{A99EFE5B-EC7F-4F76-8A02-276D3BD0349E}"/>
  </hyperlinks>
  <pageMargins left="0.7" right="0.7" top="0.75" bottom="0.75" header="0.3" footer="0.3"/>
  <pageSetup orientation="portrait" r:id="rId26"/>
  <tableParts count="1"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E058-A3C3-4608-9343-EDDCACB6147D}">
  <dimension ref="A2:V39"/>
  <sheetViews>
    <sheetView topLeftCell="H1" zoomScale="82" zoomScaleNormal="115" workbookViewId="0">
      <selection activeCell="W12" sqref="W12"/>
    </sheetView>
  </sheetViews>
  <sheetFormatPr baseColWidth="10" defaultColWidth="11.5546875" defaultRowHeight="14.4"/>
  <cols>
    <col min="1" max="1" width="21.33203125" style="144" hidden="1" customWidth="1"/>
    <col min="2" max="2" width="11.6640625" style="144" customWidth="1"/>
    <col min="3" max="3" width="14.109375" style="144" customWidth="1"/>
    <col min="4" max="5" width="11.5546875" style="144"/>
    <col min="6" max="6" width="17.33203125" style="144" customWidth="1"/>
    <col min="7" max="7" width="18.44140625" style="144" customWidth="1"/>
    <col min="8" max="8" width="16" style="144" customWidth="1"/>
    <col min="9" max="9" width="32.5546875" style="144" bestFit="1" customWidth="1"/>
    <col min="10" max="10" width="13.6640625" style="144" bestFit="1" customWidth="1"/>
    <col min="11" max="11" width="11.5546875" style="144"/>
    <col min="12" max="12" width="20.6640625" style="144" customWidth="1"/>
    <col min="13" max="13" width="11.5546875" style="144"/>
    <col min="14" max="14" width="17.5546875" style="144" customWidth="1"/>
    <col min="15" max="15" width="13.5546875" style="144" customWidth="1"/>
    <col min="16" max="16" width="19.44140625" style="144" bestFit="1" customWidth="1"/>
    <col min="17" max="17" width="27.44140625" style="144" customWidth="1"/>
    <col min="18" max="18" width="14.44140625" style="144" bestFit="1" customWidth="1"/>
    <col min="19" max="19" width="13.33203125" style="144" customWidth="1"/>
    <col min="20" max="20" width="17.88671875" style="144" customWidth="1"/>
    <col min="21" max="21" width="15.33203125" style="144" customWidth="1"/>
    <col min="22" max="16384" width="11.5546875" style="144"/>
  </cols>
  <sheetData>
    <row r="2" spans="1:22" ht="28.8">
      <c r="A2" s="144" t="s">
        <v>151</v>
      </c>
      <c r="D2" s="153" t="s">
        <v>417</v>
      </c>
      <c r="E2" s="153" t="s">
        <v>2288</v>
      </c>
      <c r="F2" s="154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6" t="s">
        <v>1590</v>
      </c>
      <c r="U2" s="155" t="s">
        <v>18</v>
      </c>
      <c r="V2" s="154" t="s">
        <v>20</v>
      </c>
    </row>
    <row r="3" spans="1:22">
      <c r="A3" s="144" t="s">
        <v>129</v>
      </c>
      <c r="D3" s="752" t="s">
        <v>2289</v>
      </c>
      <c r="E3" s="753">
        <v>1</v>
      </c>
      <c r="F3" s="754" t="s">
        <v>1560</v>
      </c>
      <c r="G3" s="754" t="s">
        <v>129</v>
      </c>
      <c r="H3" s="755" t="s">
        <v>23</v>
      </c>
      <c r="I3" s="755" t="s">
        <v>51</v>
      </c>
      <c r="J3" s="755">
        <v>42763715</v>
      </c>
      <c r="K3" s="755" t="s">
        <v>1191</v>
      </c>
      <c r="L3" s="756">
        <v>22620</v>
      </c>
      <c r="M3" s="757">
        <f ca="1">DATEDIF(L3,TODAY(),"Y")</f>
        <v>64</v>
      </c>
      <c r="N3" s="755" t="s">
        <v>1588</v>
      </c>
      <c r="O3" s="19">
        <v>3003849594</v>
      </c>
      <c r="P3" s="758" t="s">
        <v>1860</v>
      </c>
      <c r="Q3" s="755" t="s">
        <v>1591</v>
      </c>
      <c r="R3" s="754" t="s">
        <v>891</v>
      </c>
      <c r="S3" s="754" t="s">
        <v>230</v>
      </c>
      <c r="T3" s="759">
        <v>34601</v>
      </c>
      <c r="U3" s="760" t="s">
        <v>166</v>
      </c>
      <c r="V3" s="761" t="s">
        <v>210</v>
      </c>
    </row>
    <row r="4" spans="1:22">
      <c r="D4" s="150"/>
      <c r="E4" s="150">
        <v>1</v>
      </c>
      <c r="F4" s="138" t="s">
        <v>1560</v>
      </c>
      <c r="G4" s="138" t="s">
        <v>129</v>
      </c>
      <c r="H4" s="138" t="s">
        <v>23</v>
      </c>
      <c r="I4" s="549" t="s">
        <v>24</v>
      </c>
      <c r="J4" s="547">
        <v>43639318</v>
      </c>
      <c r="K4" s="138" t="s">
        <v>1191</v>
      </c>
      <c r="L4" s="160">
        <v>27351</v>
      </c>
      <c r="M4" s="158">
        <f ca="1">DATEDIF(L4,TODAY(),"Y")</f>
        <v>51</v>
      </c>
      <c r="N4" s="138" t="s">
        <v>1588</v>
      </c>
      <c r="O4" s="544">
        <v>3015422910</v>
      </c>
      <c r="P4" s="149"/>
      <c r="Q4" s="138" t="s">
        <v>1591</v>
      </c>
      <c r="R4" s="154" t="s">
        <v>333</v>
      </c>
      <c r="S4" s="154" t="s">
        <v>663</v>
      </c>
      <c r="T4" s="161">
        <v>43992</v>
      </c>
      <c r="U4" s="151" t="s">
        <v>160</v>
      </c>
      <c r="V4" s="144" t="s">
        <v>210</v>
      </c>
    </row>
    <row r="5" spans="1:22">
      <c r="A5" s="144" t="s">
        <v>1191</v>
      </c>
      <c r="B5" t="s">
        <v>333</v>
      </c>
      <c r="D5" s="150"/>
      <c r="E5" s="150">
        <v>1</v>
      </c>
      <c r="F5" s="138" t="s">
        <v>1560</v>
      </c>
      <c r="G5" s="138" t="s">
        <v>129</v>
      </c>
      <c r="H5" s="138" t="s">
        <v>23</v>
      </c>
      <c r="I5" s="548" t="s">
        <v>27</v>
      </c>
      <c r="J5" s="547">
        <v>1032010977</v>
      </c>
      <c r="K5" s="138" t="s">
        <v>1187</v>
      </c>
      <c r="L5" s="160">
        <v>36559</v>
      </c>
      <c r="M5" s="158">
        <f t="shared" ref="M5:M28" ca="1" si="0">DATEDIF(L5,TODAY(),"Y")</f>
        <v>26</v>
      </c>
      <c r="N5" s="138" t="s">
        <v>1588</v>
      </c>
      <c r="O5" s="544">
        <v>3016912875</v>
      </c>
      <c r="P5" s="149" t="s">
        <v>1861</v>
      </c>
      <c r="Q5" s="138" t="s">
        <v>1591</v>
      </c>
      <c r="R5" s="154" t="s">
        <v>333</v>
      </c>
      <c r="S5" s="154" t="s">
        <v>663</v>
      </c>
      <c r="T5" s="161">
        <v>36346</v>
      </c>
      <c r="U5" s="151" t="s">
        <v>160</v>
      </c>
      <c r="V5" s="144" t="s">
        <v>210</v>
      </c>
    </row>
    <row r="6" spans="1:22">
      <c r="A6" s="144" t="s">
        <v>1187</v>
      </c>
      <c r="B6" t="s">
        <v>164</v>
      </c>
      <c r="D6" s="150"/>
      <c r="E6" s="150">
        <v>1</v>
      </c>
      <c r="F6" s="138" t="s">
        <v>1560</v>
      </c>
      <c r="G6" s="138" t="s">
        <v>129</v>
      </c>
      <c r="H6" s="138" t="s">
        <v>23</v>
      </c>
      <c r="I6" s="548" t="s">
        <v>29</v>
      </c>
      <c r="J6" s="547">
        <v>43041135</v>
      </c>
      <c r="K6" s="138" t="s">
        <v>1191</v>
      </c>
      <c r="L6" s="161">
        <v>22374</v>
      </c>
      <c r="M6" s="158">
        <f t="shared" ca="1" si="0"/>
        <v>65</v>
      </c>
      <c r="N6" s="138" t="s">
        <v>1588</v>
      </c>
      <c r="O6" s="544">
        <v>3002471717</v>
      </c>
      <c r="P6" s="149"/>
      <c r="Q6" s="138" t="s">
        <v>1599</v>
      </c>
      <c r="R6" s="154" t="s">
        <v>891</v>
      </c>
      <c r="S6" s="154" t="s">
        <v>663</v>
      </c>
      <c r="T6" s="162"/>
      <c r="U6" s="151" t="s">
        <v>160</v>
      </c>
      <c r="V6" s="144" t="s">
        <v>210</v>
      </c>
    </row>
    <row r="7" spans="1:22">
      <c r="A7" s="144" t="s">
        <v>1585</v>
      </c>
      <c r="B7" t="s">
        <v>321</v>
      </c>
      <c r="D7" s="150"/>
      <c r="E7" s="150">
        <v>1</v>
      </c>
      <c r="F7" s="138" t="s">
        <v>1560</v>
      </c>
      <c r="G7" s="138" t="s">
        <v>129</v>
      </c>
      <c r="H7" s="138" t="s">
        <v>23</v>
      </c>
      <c r="I7" s="548" t="s">
        <v>30</v>
      </c>
      <c r="J7" s="547">
        <v>43640973</v>
      </c>
      <c r="K7" s="138" t="s">
        <v>1191</v>
      </c>
      <c r="L7" s="161">
        <v>28676</v>
      </c>
      <c r="M7" s="158">
        <f t="shared" ca="1" si="0"/>
        <v>47</v>
      </c>
      <c r="N7" s="138" t="s">
        <v>1588</v>
      </c>
      <c r="O7" s="544">
        <v>3114190939</v>
      </c>
      <c r="P7" s="149"/>
      <c r="Q7" s="138" t="s">
        <v>1599</v>
      </c>
      <c r="R7" s="154" t="s">
        <v>333</v>
      </c>
      <c r="S7" s="154" t="s">
        <v>663</v>
      </c>
      <c r="T7" s="162"/>
      <c r="U7" s="151" t="s">
        <v>160</v>
      </c>
      <c r="V7" s="144" t="s">
        <v>210</v>
      </c>
    </row>
    <row r="8" spans="1:22">
      <c r="B8" t="s">
        <v>192</v>
      </c>
      <c r="D8" s="150"/>
      <c r="E8" s="150">
        <v>1</v>
      </c>
      <c r="F8" s="138" t="s">
        <v>1560</v>
      </c>
      <c r="G8" s="138" t="s">
        <v>129</v>
      </c>
      <c r="H8" s="138" t="s">
        <v>23</v>
      </c>
      <c r="I8" s="548" t="s">
        <v>31</v>
      </c>
      <c r="J8" s="547">
        <v>1193593826</v>
      </c>
      <c r="K8" s="138" t="s">
        <v>1191</v>
      </c>
      <c r="L8" s="160">
        <v>37909</v>
      </c>
      <c r="M8" s="158">
        <f t="shared" ca="1" si="0"/>
        <v>22</v>
      </c>
      <c r="N8" s="138" t="s">
        <v>1588</v>
      </c>
      <c r="O8" s="551">
        <v>3128091081</v>
      </c>
      <c r="P8" s="149" t="s">
        <v>1862</v>
      </c>
      <c r="Q8" s="138" t="s">
        <v>1560</v>
      </c>
      <c r="R8" s="154" t="s">
        <v>333</v>
      </c>
      <c r="S8" s="154" t="s">
        <v>663</v>
      </c>
      <c r="T8" s="161">
        <v>42768</v>
      </c>
      <c r="U8" s="151" t="s">
        <v>160</v>
      </c>
      <c r="V8" s="144" t="s">
        <v>210</v>
      </c>
    </row>
    <row r="9" spans="1:22">
      <c r="A9" s="144" t="s">
        <v>56</v>
      </c>
      <c r="B9" t="s">
        <v>876</v>
      </c>
      <c r="D9" s="150"/>
      <c r="E9" s="150">
        <v>1</v>
      </c>
      <c r="F9" s="138" t="s">
        <v>1560</v>
      </c>
      <c r="G9" s="138" t="s">
        <v>129</v>
      </c>
      <c r="H9" s="138" t="s">
        <v>23</v>
      </c>
      <c r="I9" s="548" t="s">
        <v>32</v>
      </c>
      <c r="J9" s="547">
        <v>1017207378</v>
      </c>
      <c r="K9" s="138" t="s">
        <v>1187</v>
      </c>
      <c r="L9" s="161">
        <v>33992</v>
      </c>
      <c r="M9" s="158">
        <f t="shared" ca="1" si="0"/>
        <v>33</v>
      </c>
      <c r="N9" s="138" t="s">
        <v>1588</v>
      </c>
      <c r="O9" s="551">
        <v>3003700572</v>
      </c>
      <c r="P9" s="149" t="s">
        <v>1863</v>
      </c>
      <c r="Q9" s="138" t="s">
        <v>1592</v>
      </c>
      <c r="R9" s="154" t="s">
        <v>333</v>
      </c>
      <c r="S9" s="154" t="s">
        <v>230</v>
      </c>
      <c r="T9" s="161">
        <v>43569</v>
      </c>
      <c r="U9" s="151" t="s">
        <v>160</v>
      </c>
      <c r="V9" s="144" t="s">
        <v>210</v>
      </c>
    </row>
    <row r="10" spans="1:22">
      <c r="A10" s="144" t="s">
        <v>212</v>
      </c>
      <c r="B10" t="s">
        <v>891</v>
      </c>
      <c r="D10" s="150"/>
      <c r="E10" s="150">
        <v>1</v>
      </c>
      <c r="F10" s="138" t="s">
        <v>1560</v>
      </c>
      <c r="G10" s="138" t="s">
        <v>129</v>
      </c>
      <c r="H10" s="138" t="s">
        <v>23</v>
      </c>
      <c r="I10" s="548" t="s">
        <v>33</v>
      </c>
      <c r="J10" s="547">
        <v>1038384797</v>
      </c>
      <c r="K10" s="138" t="s">
        <v>1187</v>
      </c>
      <c r="L10" s="161">
        <v>32364</v>
      </c>
      <c r="M10" s="158">
        <f t="shared" ca="1" si="0"/>
        <v>37</v>
      </c>
      <c r="N10" s="138" t="s">
        <v>1588</v>
      </c>
      <c r="O10" s="544">
        <v>3134832575</v>
      </c>
      <c r="P10" s="149" t="s">
        <v>1864</v>
      </c>
      <c r="Q10" s="138" t="s">
        <v>1599</v>
      </c>
      <c r="R10" s="154" t="s">
        <v>333</v>
      </c>
      <c r="S10" s="154" t="s">
        <v>663</v>
      </c>
      <c r="T10" s="161">
        <v>43578</v>
      </c>
      <c r="U10" s="151" t="s">
        <v>160</v>
      </c>
      <c r="V10" s="144" t="s">
        <v>210</v>
      </c>
    </row>
    <row r="11" spans="1:22">
      <c r="A11" s="144" t="s">
        <v>73</v>
      </c>
      <c r="B11" t="s">
        <v>1585</v>
      </c>
      <c r="D11" s="150"/>
      <c r="E11" s="150">
        <v>1</v>
      </c>
      <c r="F11" s="138" t="s">
        <v>1560</v>
      </c>
      <c r="G11" s="138" t="s">
        <v>129</v>
      </c>
      <c r="H11" s="138" t="s">
        <v>23</v>
      </c>
      <c r="I11" s="548" t="s">
        <v>34</v>
      </c>
      <c r="J11" s="547">
        <v>1000290145</v>
      </c>
      <c r="K11" s="138" t="s">
        <v>1191</v>
      </c>
      <c r="L11" s="160">
        <v>35728</v>
      </c>
      <c r="M11" s="158">
        <f t="shared" ca="1" si="0"/>
        <v>28</v>
      </c>
      <c r="N11" s="138" t="s">
        <v>1588</v>
      </c>
      <c r="O11" s="544">
        <v>3027544520</v>
      </c>
      <c r="P11" s="149" t="s">
        <v>1865</v>
      </c>
      <c r="Q11" s="138" t="s">
        <v>1591</v>
      </c>
      <c r="R11" s="154" t="s">
        <v>333</v>
      </c>
      <c r="S11" s="154" t="s">
        <v>663</v>
      </c>
      <c r="T11" s="162"/>
      <c r="U11" s="151" t="s">
        <v>160</v>
      </c>
      <c r="V11" s="144" t="s">
        <v>210</v>
      </c>
    </row>
    <row r="12" spans="1:22">
      <c r="A12" s="144" t="s">
        <v>272</v>
      </c>
      <c r="D12" s="150"/>
      <c r="E12" s="150">
        <v>1</v>
      </c>
      <c r="F12" s="138" t="s">
        <v>1560</v>
      </c>
      <c r="G12" s="138" t="s">
        <v>129</v>
      </c>
      <c r="H12" s="138" t="s">
        <v>23</v>
      </c>
      <c r="I12" s="548" t="s">
        <v>35</v>
      </c>
      <c r="J12" s="547">
        <v>1001463171</v>
      </c>
      <c r="K12" s="138" t="s">
        <v>1187</v>
      </c>
      <c r="L12" s="161">
        <v>36355</v>
      </c>
      <c r="M12" s="158">
        <f t="shared" ca="1" si="0"/>
        <v>26</v>
      </c>
      <c r="N12" s="138" t="s">
        <v>1588</v>
      </c>
      <c r="O12" s="544">
        <v>3145499277</v>
      </c>
      <c r="P12" s="149" t="s">
        <v>1866</v>
      </c>
      <c r="Q12" s="138" t="s">
        <v>1591</v>
      </c>
      <c r="R12" s="154" t="s">
        <v>333</v>
      </c>
      <c r="S12" s="154" t="s">
        <v>230</v>
      </c>
      <c r="T12" s="161">
        <v>43992</v>
      </c>
      <c r="U12" s="151" t="s">
        <v>160</v>
      </c>
      <c r="V12" s="144" t="s">
        <v>210</v>
      </c>
    </row>
    <row r="13" spans="1:22">
      <c r="A13" s="144" t="s">
        <v>114</v>
      </c>
      <c r="B13" s="171" t="s">
        <v>461</v>
      </c>
      <c r="D13" s="150"/>
      <c r="E13" s="150">
        <v>1</v>
      </c>
      <c r="F13" s="138" t="s">
        <v>1560</v>
      </c>
      <c r="G13" s="138" t="s">
        <v>129</v>
      </c>
      <c r="H13" s="138" t="s">
        <v>23</v>
      </c>
      <c r="I13" s="548" t="s">
        <v>1855</v>
      </c>
      <c r="J13" s="547">
        <v>71278368</v>
      </c>
      <c r="K13" s="138" t="s">
        <v>1187</v>
      </c>
      <c r="L13" s="160">
        <v>30245</v>
      </c>
      <c r="M13" s="158">
        <f t="shared" ca="1" si="0"/>
        <v>43</v>
      </c>
      <c r="N13" s="138" t="s">
        <v>1588</v>
      </c>
      <c r="O13" s="544">
        <v>3044766276</v>
      </c>
      <c r="P13" s="149"/>
      <c r="Q13" s="138" t="s">
        <v>1560</v>
      </c>
      <c r="R13" s="154" t="s">
        <v>333</v>
      </c>
      <c r="S13" s="154" t="s">
        <v>230</v>
      </c>
      <c r="T13" s="161">
        <v>43136</v>
      </c>
      <c r="U13" s="151" t="s">
        <v>160</v>
      </c>
      <c r="V13" s="144" t="s">
        <v>210</v>
      </c>
    </row>
    <row r="14" spans="1:22">
      <c r="A14" s="144" t="s">
        <v>1586</v>
      </c>
      <c r="B14" s="171" t="s">
        <v>663</v>
      </c>
      <c r="D14" s="150"/>
      <c r="E14" s="150">
        <v>1</v>
      </c>
      <c r="F14" s="138" t="s">
        <v>1560</v>
      </c>
      <c r="G14" s="138" t="s">
        <v>129</v>
      </c>
      <c r="H14" s="138" t="s">
        <v>23</v>
      </c>
      <c r="I14" s="548" t="s">
        <v>37</v>
      </c>
      <c r="J14" s="547">
        <v>43915431</v>
      </c>
      <c r="K14" s="138" t="s">
        <v>1191</v>
      </c>
      <c r="L14" s="161">
        <v>30420</v>
      </c>
      <c r="M14" s="158">
        <f t="shared" ca="1" si="0"/>
        <v>43</v>
      </c>
      <c r="N14" s="138" t="s">
        <v>1588</v>
      </c>
      <c r="O14" s="544">
        <v>3225065092</v>
      </c>
      <c r="P14" s="149"/>
      <c r="Q14" s="138" t="s">
        <v>1560</v>
      </c>
      <c r="R14" s="154" t="s">
        <v>333</v>
      </c>
      <c r="S14" s="154" t="s">
        <v>230</v>
      </c>
      <c r="T14" s="160">
        <v>43763</v>
      </c>
      <c r="U14" s="151" t="s">
        <v>160</v>
      </c>
      <c r="V14" s="144" t="s">
        <v>210</v>
      </c>
    </row>
    <row r="15" spans="1:22">
      <c r="A15" s="144" t="s">
        <v>227</v>
      </c>
      <c r="B15" s="171" t="s">
        <v>170</v>
      </c>
      <c r="D15" s="150"/>
      <c r="E15" s="150">
        <v>1</v>
      </c>
      <c r="F15" s="138" t="s">
        <v>1560</v>
      </c>
      <c r="G15" s="138" t="s">
        <v>129</v>
      </c>
      <c r="H15" s="138" t="s">
        <v>23</v>
      </c>
      <c r="I15" s="548" t="s">
        <v>38</v>
      </c>
      <c r="J15" s="547">
        <v>43206914</v>
      </c>
      <c r="K15" s="138" t="s">
        <v>1191</v>
      </c>
      <c r="L15" s="161">
        <v>29483</v>
      </c>
      <c r="M15" s="158">
        <f t="shared" ca="1" si="0"/>
        <v>45</v>
      </c>
      <c r="N15" s="138" t="s">
        <v>1588</v>
      </c>
      <c r="O15" s="544">
        <v>3011452800</v>
      </c>
      <c r="P15" s="149" t="s">
        <v>1867</v>
      </c>
      <c r="Q15" s="138" t="s">
        <v>1591</v>
      </c>
      <c r="R15" s="154" t="s">
        <v>333</v>
      </c>
      <c r="S15" s="154" t="s">
        <v>193</v>
      </c>
      <c r="T15" s="161">
        <v>36660</v>
      </c>
      <c r="U15" s="151" t="s">
        <v>160</v>
      </c>
      <c r="V15" s="144" t="s">
        <v>210</v>
      </c>
    </row>
    <row r="16" spans="1:22">
      <c r="A16" s="144" t="s">
        <v>1587</v>
      </c>
      <c r="B16" s="171" t="s">
        <v>193</v>
      </c>
      <c r="D16" s="150"/>
      <c r="E16" s="150">
        <v>1</v>
      </c>
      <c r="F16" s="138" t="s">
        <v>1560</v>
      </c>
      <c r="G16" s="138" t="s">
        <v>129</v>
      </c>
      <c r="H16" s="138" t="s">
        <v>23</v>
      </c>
      <c r="I16" s="546" t="s">
        <v>39</v>
      </c>
      <c r="J16" s="545">
        <v>1011399077</v>
      </c>
      <c r="K16" s="138" t="s">
        <v>1191</v>
      </c>
      <c r="L16" s="163">
        <v>39696</v>
      </c>
      <c r="M16" s="158">
        <f t="shared" ca="1" si="0"/>
        <v>17</v>
      </c>
      <c r="N16" s="138" t="s">
        <v>1588</v>
      </c>
      <c r="O16" s="552">
        <v>3217087316</v>
      </c>
      <c r="P16" s="149" t="s">
        <v>1868</v>
      </c>
      <c r="Q16" s="138" t="s">
        <v>1560</v>
      </c>
      <c r="R16" s="154" t="s">
        <v>192</v>
      </c>
      <c r="S16" s="154" t="s">
        <v>193</v>
      </c>
      <c r="T16" s="163">
        <v>44990</v>
      </c>
      <c r="U16" s="151" t="s">
        <v>160</v>
      </c>
      <c r="V16" s="144" t="s">
        <v>210</v>
      </c>
    </row>
    <row r="17" spans="1:22">
      <c r="A17" s="144" t="s">
        <v>1588</v>
      </c>
      <c r="B17" s="171" t="s">
        <v>1881</v>
      </c>
      <c r="D17" s="150"/>
      <c r="E17" s="150">
        <v>1</v>
      </c>
      <c r="F17" s="138" t="s">
        <v>1560</v>
      </c>
      <c r="G17" s="138" t="s">
        <v>129</v>
      </c>
      <c r="H17" s="138" t="s">
        <v>23</v>
      </c>
      <c r="I17" s="544" t="s">
        <v>40</v>
      </c>
      <c r="J17" s="542">
        <v>1023527251</v>
      </c>
      <c r="K17" s="138" t="s">
        <v>1191</v>
      </c>
      <c r="L17" s="159">
        <v>39637</v>
      </c>
      <c r="M17" s="158">
        <f t="shared" ca="1" si="0"/>
        <v>17</v>
      </c>
      <c r="N17" s="138" t="s">
        <v>1588</v>
      </c>
      <c r="O17" s="550">
        <v>3004091609</v>
      </c>
      <c r="P17" s="149" t="s">
        <v>1869</v>
      </c>
      <c r="Q17" s="138" t="s">
        <v>1591</v>
      </c>
      <c r="R17" s="154" t="s">
        <v>192</v>
      </c>
      <c r="S17" s="154" t="s">
        <v>230</v>
      </c>
      <c r="T17" s="159">
        <v>43198</v>
      </c>
      <c r="U17" s="151" t="s">
        <v>160</v>
      </c>
      <c r="V17" s="144" t="s">
        <v>210</v>
      </c>
    </row>
    <row r="18" spans="1:22">
      <c r="B18" s="171" t="s">
        <v>1882</v>
      </c>
      <c r="D18" s="150"/>
      <c r="E18" s="150">
        <v>1</v>
      </c>
      <c r="F18" s="138" t="s">
        <v>1560</v>
      </c>
      <c r="G18" s="138" t="s">
        <v>129</v>
      </c>
      <c r="H18" s="138" t="s">
        <v>23</v>
      </c>
      <c r="I18" s="544" t="s">
        <v>41</v>
      </c>
      <c r="J18" s="542">
        <v>1023527111</v>
      </c>
      <c r="K18" s="138" t="s">
        <v>1187</v>
      </c>
      <c r="L18" s="157">
        <v>39444</v>
      </c>
      <c r="M18" s="158">
        <f t="shared" ca="1" si="0"/>
        <v>18</v>
      </c>
      <c r="N18" s="138" t="s">
        <v>1588</v>
      </c>
      <c r="O18" s="550">
        <v>3145305971</v>
      </c>
      <c r="P18" s="149" t="s">
        <v>42</v>
      </c>
      <c r="Q18" s="138" t="s">
        <v>1591</v>
      </c>
      <c r="R18" s="154" t="s">
        <v>192</v>
      </c>
      <c r="S18" s="154"/>
      <c r="T18" s="159">
        <v>43198</v>
      </c>
      <c r="U18" s="151" t="s">
        <v>160</v>
      </c>
      <c r="V18" s="144" t="s">
        <v>210</v>
      </c>
    </row>
    <row r="19" spans="1:22">
      <c r="A19" s="144" t="s">
        <v>160</v>
      </c>
      <c r="B19" s="171" t="s">
        <v>405</v>
      </c>
      <c r="D19" s="150"/>
      <c r="E19" s="150">
        <v>1</v>
      </c>
      <c r="F19" s="138" t="s">
        <v>1560</v>
      </c>
      <c r="G19" s="138" t="s">
        <v>129</v>
      </c>
      <c r="H19" s="138" t="s">
        <v>23</v>
      </c>
      <c r="I19" s="544" t="s">
        <v>43</v>
      </c>
      <c r="J19" s="542">
        <v>1011398442</v>
      </c>
      <c r="K19" s="138" t="s">
        <v>1187</v>
      </c>
      <c r="L19" s="159">
        <v>39562</v>
      </c>
      <c r="M19" s="158">
        <f t="shared" ca="1" si="0"/>
        <v>18</v>
      </c>
      <c r="N19" s="138" t="s">
        <v>1588</v>
      </c>
      <c r="O19" s="550">
        <v>3053289886</v>
      </c>
      <c r="P19" s="149" t="s">
        <v>44</v>
      </c>
      <c r="Q19" s="138" t="s">
        <v>1560</v>
      </c>
      <c r="R19" s="154" t="s">
        <v>192</v>
      </c>
      <c r="S19" s="154" t="s">
        <v>230</v>
      </c>
      <c r="T19" s="159">
        <v>43198</v>
      </c>
      <c r="U19" s="151" t="s">
        <v>160</v>
      </c>
      <c r="V19" s="144" t="s">
        <v>210</v>
      </c>
    </row>
    <row r="20" spans="1:22">
      <c r="A20" s="144" t="s">
        <v>166</v>
      </c>
      <c r="B20" s="171" t="s">
        <v>1883</v>
      </c>
      <c r="D20" s="150"/>
      <c r="E20" s="150">
        <v>1</v>
      </c>
      <c r="F20" s="138" t="s">
        <v>1560</v>
      </c>
      <c r="G20" s="138" t="s">
        <v>129</v>
      </c>
      <c r="H20" s="138" t="s">
        <v>23</v>
      </c>
      <c r="I20" s="544" t="s">
        <v>45</v>
      </c>
      <c r="J20" s="542">
        <v>9760929</v>
      </c>
      <c r="K20" s="138" t="s">
        <v>1187</v>
      </c>
      <c r="L20" s="159">
        <v>23246</v>
      </c>
      <c r="M20" s="158">
        <f t="shared" ca="1" si="0"/>
        <v>62</v>
      </c>
      <c r="N20" s="138" t="s">
        <v>1588</v>
      </c>
      <c r="O20" s="550">
        <v>3016389962</v>
      </c>
      <c r="P20" s="149" t="s">
        <v>1870</v>
      </c>
      <c r="Q20" s="138" t="s">
        <v>1591</v>
      </c>
      <c r="R20" s="154" t="s">
        <v>333</v>
      </c>
      <c r="S20" s="154" t="s">
        <v>230</v>
      </c>
      <c r="T20" s="159">
        <v>39712</v>
      </c>
      <c r="U20" s="151" t="s">
        <v>160</v>
      </c>
      <c r="V20" s="144" t="s">
        <v>210</v>
      </c>
    </row>
    <row r="21" spans="1:22">
      <c r="B21" s="171" t="s">
        <v>230</v>
      </c>
      <c r="D21" s="150"/>
      <c r="E21" s="150">
        <v>1</v>
      </c>
      <c r="F21" s="138" t="s">
        <v>1560</v>
      </c>
      <c r="G21" s="138" t="s">
        <v>129</v>
      </c>
      <c r="H21" s="138" t="s">
        <v>23</v>
      </c>
      <c r="I21" s="544" t="s">
        <v>1856</v>
      </c>
      <c r="J21" s="542">
        <v>1037664726</v>
      </c>
      <c r="K21" s="138" t="s">
        <v>1191</v>
      </c>
      <c r="L21" s="157"/>
      <c r="M21" s="158"/>
      <c r="N21" s="138" t="s">
        <v>1588</v>
      </c>
      <c r="O21" s="550">
        <v>3246878237</v>
      </c>
      <c r="P21" s="149" t="s">
        <v>1871</v>
      </c>
      <c r="Q21" s="138" t="s">
        <v>1591</v>
      </c>
      <c r="R21" s="154" t="s">
        <v>333</v>
      </c>
      <c r="S21" s="154" t="s">
        <v>663</v>
      </c>
      <c r="T21" s="164" t="s">
        <v>46</v>
      </c>
      <c r="U21" s="151" t="s">
        <v>160</v>
      </c>
      <c r="V21" s="144" t="s">
        <v>210</v>
      </c>
    </row>
    <row r="22" spans="1:22">
      <c r="A22" s="144" t="s">
        <v>1591</v>
      </c>
      <c r="B22" s="171" t="s">
        <v>1884</v>
      </c>
      <c r="D22" s="150"/>
      <c r="E22" s="150">
        <v>1</v>
      </c>
      <c r="F22" s="138" t="s">
        <v>1560</v>
      </c>
      <c r="G22" s="138" t="s">
        <v>129</v>
      </c>
      <c r="H22" s="138" t="s">
        <v>23</v>
      </c>
      <c r="I22" s="544" t="s">
        <v>1857</v>
      </c>
      <c r="J22" s="542">
        <v>1045109166</v>
      </c>
      <c r="K22" s="138" t="s">
        <v>1191</v>
      </c>
      <c r="L22" s="157">
        <v>39728</v>
      </c>
      <c r="M22" s="158">
        <f t="shared" ca="1" si="0"/>
        <v>17</v>
      </c>
      <c r="N22" s="138" t="s">
        <v>1588</v>
      </c>
      <c r="O22" s="550">
        <v>3017095519</v>
      </c>
      <c r="P22" s="149" t="s">
        <v>1872</v>
      </c>
      <c r="Q22" s="138" t="s">
        <v>1591</v>
      </c>
      <c r="R22" s="154" t="s">
        <v>192</v>
      </c>
      <c r="S22" s="154" t="s">
        <v>663</v>
      </c>
      <c r="T22" s="159">
        <v>45124</v>
      </c>
      <c r="U22" s="151" t="s">
        <v>160</v>
      </c>
      <c r="V22" s="144" t="s">
        <v>210</v>
      </c>
    </row>
    <row r="23" spans="1:22">
      <c r="A23" s="144" t="s">
        <v>1592</v>
      </c>
      <c r="B23" s="171" t="s">
        <v>1885</v>
      </c>
      <c r="D23" s="150"/>
      <c r="E23" s="150">
        <v>1</v>
      </c>
      <c r="F23" s="138" t="s">
        <v>1560</v>
      </c>
      <c r="G23" s="138" t="s">
        <v>129</v>
      </c>
      <c r="H23" s="138" t="s">
        <v>23</v>
      </c>
      <c r="I23" s="543" t="s">
        <v>1858</v>
      </c>
      <c r="J23" s="542">
        <v>101139081</v>
      </c>
      <c r="K23" s="138" t="s">
        <v>1191</v>
      </c>
      <c r="L23" s="159">
        <v>38094</v>
      </c>
      <c r="M23" s="158">
        <f t="shared" ca="1" si="0"/>
        <v>22</v>
      </c>
      <c r="N23" s="138" t="s">
        <v>1588</v>
      </c>
      <c r="O23" s="550">
        <v>3193810920</v>
      </c>
      <c r="P23" s="149" t="s">
        <v>1873</v>
      </c>
      <c r="Q23" s="138" t="s">
        <v>1599</v>
      </c>
      <c r="R23" s="154"/>
      <c r="S23" s="154" t="s">
        <v>663</v>
      </c>
      <c r="T23" s="159">
        <v>45813</v>
      </c>
      <c r="U23" s="151" t="s">
        <v>160</v>
      </c>
      <c r="V23" s="144" t="s">
        <v>210</v>
      </c>
    </row>
    <row r="24" spans="1:22">
      <c r="A24" s="144" t="s">
        <v>1560</v>
      </c>
      <c r="B24" s="171" t="s">
        <v>1886</v>
      </c>
      <c r="D24" s="150"/>
      <c r="E24" s="150">
        <v>1</v>
      </c>
      <c r="F24" s="138" t="s">
        <v>1560</v>
      </c>
      <c r="G24" s="138" t="s">
        <v>129</v>
      </c>
      <c r="H24" s="138" t="s">
        <v>23</v>
      </c>
      <c r="I24" s="543" t="s">
        <v>1859</v>
      </c>
      <c r="J24" s="542">
        <v>1015070666</v>
      </c>
      <c r="K24" s="138" t="s">
        <v>1191</v>
      </c>
      <c r="L24" s="159">
        <v>38970</v>
      </c>
      <c r="M24" s="158">
        <f t="shared" ca="1" si="0"/>
        <v>19</v>
      </c>
      <c r="N24" s="138" t="s">
        <v>1588</v>
      </c>
      <c r="O24" s="550">
        <v>3015964197</v>
      </c>
      <c r="P24" s="149" t="s">
        <v>1874</v>
      </c>
      <c r="Q24" s="138" t="s">
        <v>1599</v>
      </c>
      <c r="R24" s="154"/>
      <c r="S24" s="154" t="s">
        <v>461</v>
      </c>
      <c r="T24" s="159">
        <v>45813</v>
      </c>
      <c r="U24" s="151" t="s">
        <v>160</v>
      </c>
      <c r="V24" s="144" t="s">
        <v>210</v>
      </c>
    </row>
    <row r="25" spans="1:22">
      <c r="A25" s="144" t="s">
        <v>1593</v>
      </c>
      <c r="B25" s="171" t="s">
        <v>1887</v>
      </c>
      <c r="D25" s="150"/>
      <c r="E25" s="150">
        <v>1</v>
      </c>
      <c r="F25" s="138" t="s">
        <v>1560</v>
      </c>
      <c r="G25" s="138" t="s">
        <v>129</v>
      </c>
      <c r="H25" s="138" t="s">
        <v>23</v>
      </c>
      <c r="I25" s="543" t="s">
        <v>47</v>
      </c>
      <c r="J25" s="542">
        <v>1018243143</v>
      </c>
      <c r="K25" s="138" t="s">
        <v>1187</v>
      </c>
      <c r="L25" s="159">
        <v>39683</v>
      </c>
      <c r="M25" s="158">
        <f t="shared" ca="1" si="0"/>
        <v>17</v>
      </c>
      <c r="N25" s="138" t="s">
        <v>1588</v>
      </c>
      <c r="O25" s="550">
        <v>3114172305</v>
      </c>
      <c r="P25" s="149" t="s">
        <v>1875</v>
      </c>
      <c r="Q25" s="138" t="s">
        <v>1599</v>
      </c>
      <c r="R25" s="154" t="s">
        <v>192</v>
      </c>
      <c r="S25" s="154" t="s">
        <v>663</v>
      </c>
      <c r="T25" s="159">
        <v>45813</v>
      </c>
      <c r="U25" s="151" t="s">
        <v>160</v>
      </c>
      <c r="V25" s="144" t="s">
        <v>210</v>
      </c>
    </row>
    <row r="26" spans="1:22">
      <c r="A26" s="144" t="s">
        <v>1594</v>
      </c>
      <c r="B26" s="171" t="s">
        <v>1888</v>
      </c>
      <c r="D26" s="150"/>
      <c r="E26" s="150">
        <v>1</v>
      </c>
      <c r="F26" s="138" t="s">
        <v>1560</v>
      </c>
      <c r="G26" s="138" t="s">
        <v>129</v>
      </c>
      <c r="H26" s="138" t="s">
        <v>23</v>
      </c>
      <c r="I26" s="543" t="s">
        <v>48</v>
      </c>
      <c r="J26" s="542">
        <v>1214738154</v>
      </c>
      <c r="K26" s="138" t="s">
        <v>1187</v>
      </c>
      <c r="L26" s="159">
        <v>35503</v>
      </c>
      <c r="M26" s="158">
        <f t="shared" ca="1" si="0"/>
        <v>29</v>
      </c>
      <c r="N26" s="138" t="s">
        <v>1588</v>
      </c>
      <c r="O26" s="550">
        <v>3024947474</v>
      </c>
      <c r="P26" s="149"/>
      <c r="Q26" s="138" t="s">
        <v>1591</v>
      </c>
      <c r="R26" s="154" t="s">
        <v>333</v>
      </c>
      <c r="S26" s="154" t="s">
        <v>230</v>
      </c>
      <c r="T26" s="159">
        <v>35863</v>
      </c>
      <c r="U26" s="151" t="s">
        <v>160</v>
      </c>
      <c r="V26" s="144" t="s">
        <v>210</v>
      </c>
    </row>
    <row r="27" spans="1:22">
      <c r="A27" s="144" t="s">
        <v>1595</v>
      </c>
      <c r="B27" s="171" t="s">
        <v>1889</v>
      </c>
      <c r="D27" s="150"/>
      <c r="E27" s="150">
        <v>1</v>
      </c>
      <c r="F27" s="138" t="s">
        <v>1560</v>
      </c>
      <c r="G27" s="138" t="s">
        <v>129</v>
      </c>
      <c r="H27" s="138" t="s">
        <v>23</v>
      </c>
      <c r="I27" s="543" t="s">
        <v>49</v>
      </c>
      <c r="J27" s="542">
        <v>1021805802</v>
      </c>
      <c r="K27" s="138" t="s">
        <v>1191</v>
      </c>
      <c r="L27" s="159">
        <v>38896</v>
      </c>
      <c r="M27" s="158">
        <f t="shared" ca="1" si="0"/>
        <v>19</v>
      </c>
      <c r="N27" s="138" t="s">
        <v>1588</v>
      </c>
      <c r="O27" s="550">
        <v>3012361583</v>
      </c>
      <c r="P27" s="149" t="s">
        <v>1876</v>
      </c>
      <c r="Q27" s="138" t="s">
        <v>1591</v>
      </c>
      <c r="R27" s="154" t="s">
        <v>192</v>
      </c>
      <c r="S27" s="154" t="s">
        <v>663</v>
      </c>
      <c r="T27" s="159">
        <v>45816</v>
      </c>
      <c r="U27" s="151" t="s">
        <v>160</v>
      </c>
      <c r="V27" s="144" t="s">
        <v>210</v>
      </c>
    </row>
    <row r="28" spans="1:22">
      <c r="A28" s="144" t="s">
        <v>1596</v>
      </c>
      <c r="B28" s="171" t="s">
        <v>1890</v>
      </c>
      <c r="D28" s="431"/>
      <c r="E28" s="150">
        <v>1</v>
      </c>
      <c r="F28" s="138" t="s">
        <v>1560</v>
      </c>
      <c r="G28" s="138" t="s">
        <v>129</v>
      </c>
      <c r="H28" s="138" t="s">
        <v>23</v>
      </c>
      <c r="I28" s="543" t="s">
        <v>50</v>
      </c>
      <c r="J28" s="542">
        <v>1017209383</v>
      </c>
      <c r="K28" s="138" t="s">
        <v>1187</v>
      </c>
      <c r="L28" s="159">
        <v>33762</v>
      </c>
      <c r="M28" s="158">
        <f t="shared" ca="1" si="0"/>
        <v>33</v>
      </c>
      <c r="N28" s="138" t="s">
        <v>1588</v>
      </c>
      <c r="O28" s="550">
        <v>3008075185</v>
      </c>
      <c r="P28" s="149" t="s">
        <v>1877</v>
      </c>
      <c r="Q28" s="138" t="s">
        <v>1591</v>
      </c>
      <c r="R28" s="154" t="s">
        <v>333</v>
      </c>
      <c r="S28" s="154" t="s">
        <v>663</v>
      </c>
      <c r="T28" s="159">
        <v>40410</v>
      </c>
      <c r="U28" s="151" t="s">
        <v>160</v>
      </c>
      <c r="V28" s="144" t="s">
        <v>210</v>
      </c>
    </row>
    <row r="29" spans="1:22">
      <c r="A29" s="144" t="s">
        <v>1597</v>
      </c>
      <c r="B29" s="171" t="s">
        <v>1891</v>
      </c>
    </row>
    <row r="30" spans="1:22">
      <c r="A30" s="144" t="s">
        <v>1598</v>
      </c>
      <c r="B30" s="171" t="s">
        <v>1892</v>
      </c>
    </row>
    <row r="31" spans="1:22">
      <c r="A31" s="144" t="s">
        <v>1599</v>
      </c>
      <c r="B31" s="171" t="s">
        <v>1893</v>
      </c>
    </row>
    <row r="32" spans="1:22">
      <c r="A32" s="144" t="s">
        <v>1600</v>
      </c>
      <c r="B32" s="171" t="s">
        <v>1894</v>
      </c>
    </row>
    <row r="33" spans="1:2">
      <c r="A33" s="144" t="s">
        <v>1601</v>
      </c>
      <c r="B33" s="171" t="s">
        <v>1895</v>
      </c>
    </row>
    <row r="34" spans="1:2">
      <c r="B34" s="171" t="s">
        <v>1896</v>
      </c>
    </row>
    <row r="35" spans="1:2">
      <c r="B35" s="170" t="s">
        <v>1899</v>
      </c>
    </row>
    <row r="36" spans="1:2">
      <c r="B36" s="170" t="s">
        <v>1900</v>
      </c>
    </row>
    <row r="37" spans="1:2">
      <c r="B37" t="s">
        <v>1898</v>
      </c>
    </row>
    <row r="38" spans="1:2">
      <c r="B38" s="144" t="s">
        <v>218</v>
      </c>
    </row>
    <row r="39" spans="1:2">
      <c r="B39" s="144" t="s">
        <v>1585</v>
      </c>
    </row>
  </sheetData>
  <phoneticPr fontId="41" type="noConversion"/>
  <dataValidations count="7">
    <dataValidation type="list" allowBlank="1" showInputMessage="1" showErrorMessage="1" sqref="K3:K28" xr:uid="{D3ECBAE2-FF84-451D-8D23-89F5B926D454}">
      <formula1>$A$4:$A$7</formula1>
    </dataValidation>
    <dataValidation type="list" allowBlank="1" showInputMessage="1" showErrorMessage="1" sqref="N3:N28" xr:uid="{ED78E4A0-D767-4FA0-A9CC-F36DA65454B5}">
      <formula1>$A$8:$A$17</formula1>
    </dataValidation>
    <dataValidation type="list" allowBlank="1" showInputMessage="1" showErrorMessage="1" sqref="U3:U28" xr:uid="{920DAA1C-D4E1-4268-9FA8-94C84DC19AB8}">
      <formula1>$A$18:$A$20</formula1>
    </dataValidation>
    <dataValidation type="list" allowBlank="1" showInputMessage="1" showErrorMessage="1" sqref="Q3:Q28" xr:uid="{0255A326-3ABC-4FA0-A59C-B70BA4CEE40A}">
      <formula1>$A$21:$A$33</formula1>
    </dataValidation>
    <dataValidation type="list" allowBlank="1" showInputMessage="1" showErrorMessage="1" sqref="G3:G28" xr:uid="{D13D22FD-BB96-4917-AD6E-0A7681A9BD51}">
      <formula1>$A$1:$A$3</formula1>
    </dataValidation>
    <dataValidation type="list" allowBlank="1" showInputMessage="1" showErrorMessage="1" sqref="R3:R28" xr:uid="{7F976FB7-0FB7-4B06-B479-CFD8F4A9DB52}">
      <formula1>$B$5:$B$11</formula1>
    </dataValidation>
    <dataValidation type="list" allowBlank="1" showInputMessage="1" showErrorMessage="1" sqref="S3:S28" xr:uid="{C8710C47-F270-4A07-AD67-043A6BDC1295}">
      <formula1>$B$13:$B$39</formula1>
    </dataValidation>
  </dataValidations>
  <hyperlinks>
    <hyperlink ref="P3" r:id="rId1" xr:uid="{C9B7844D-AA0D-408A-A74F-EFCC449CCD79}"/>
    <hyperlink ref="P5" r:id="rId2" xr:uid="{C175D175-00D6-4D33-9A04-9D40CC9B91E9}"/>
    <hyperlink ref="P8" r:id="rId3" xr:uid="{3380C22A-3399-46DA-A25D-4BCB47D4706C}"/>
    <hyperlink ref="P9" r:id="rId4" xr:uid="{5D5A2552-05B9-4768-B0A3-738FEE7180A0}"/>
    <hyperlink ref="P10" r:id="rId5" xr:uid="{C9DBA3F5-3A25-4A5E-A51D-6FDA649A3C57}"/>
    <hyperlink ref="P11" r:id="rId6" xr:uid="{653ED6EF-A739-43BA-9EC1-27009B6D2344}"/>
    <hyperlink ref="P12" r:id="rId7" xr:uid="{C5DB5E31-603C-4ED5-A952-6CA6FCBF8ECD}"/>
    <hyperlink ref="P15" r:id="rId8" xr:uid="{02584FF0-4DDA-4E87-B921-9FF97CB7EF37}"/>
    <hyperlink ref="P16" r:id="rId9" xr:uid="{F3CBF3DD-3A22-4ADA-8BF9-ECD8C9B9460F}"/>
    <hyperlink ref="P17" r:id="rId10" xr:uid="{35A4EB82-E749-4240-8B6C-DA8C5A0FFDD3}"/>
    <hyperlink ref="P20" r:id="rId11" xr:uid="{A70ACEEA-24C9-4B21-96EA-72579B07CCF8}"/>
    <hyperlink ref="P21" r:id="rId12" xr:uid="{6D68BFCB-777E-492F-AB02-ACF7477E5470}"/>
    <hyperlink ref="P22" r:id="rId13" xr:uid="{40475FCB-3778-46D0-B7A2-D8CDF6C7C14E}"/>
    <hyperlink ref="P23" r:id="rId14" xr:uid="{5CE23710-150C-4512-B29E-B0EB3690AAC6}"/>
    <hyperlink ref="P24" r:id="rId15" xr:uid="{1251B6D9-BAC1-4CB1-9C0C-82CDFC2DBF24}"/>
    <hyperlink ref="P25" r:id="rId16" xr:uid="{10AACE16-2265-47DF-8CCC-03942C19B1A5}"/>
    <hyperlink ref="P27" r:id="rId17" xr:uid="{019E555F-A8F4-41B3-ADBD-31BBAA127EFC}"/>
    <hyperlink ref="P28" r:id="rId18" xr:uid="{938C28DA-CA0A-4B47-898F-7A5230BBAAD7}"/>
  </hyperlinks>
  <pageMargins left="0.7" right="0.7" top="0.75" bottom="0.75" header="0.3" footer="0.3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3781-A197-451A-8253-8EB8B98264E6}">
  <dimension ref="A2:V118"/>
  <sheetViews>
    <sheetView topLeftCell="F1" zoomScale="55" zoomScaleNormal="55" workbookViewId="0">
      <selection activeCell="I105" sqref="I105"/>
    </sheetView>
  </sheetViews>
  <sheetFormatPr baseColWidth="10" defaultColWidth="11.5546875" defaultRowHeight="14.4"/>
  <cols>
    <col min="1" max="1" width="22.6640625" style="132" hidden="1" customWidth="1"/>
    <col min="2" max="3" width="22.6640625" style="132" customWidth="1"/>
    <col min="4" max="5" width="11.5546875" style="132"/>
    <col min="6" max="6" width="19.88671875" style="132" bestFit="1" customWidth="1"/>
    <col min="7" max="7" width="18.44140625" style="132" customWidth="1"/>
    <col min="8" max="8" width="31.6640625" style="132" bestFit="1" customWidth="1"/>
    <col min="9" max="9" width="51.109375" style="132" bestFit="1" customWidth="1"/>
    <col min="10" max="10" width="14.6640625" style="132" bestFit="1" customWidth="1"/>
    <col min="11" max="11" width="11.5546875" style="132" customWidth="1"/>
    <col min="12" max="13" width="20.44140625" style="132" customWidth="1"/>
    <col min="14" max="14" width="11.6640625" style="132" bestFit="1" customWidth="1"/>
    <col min="15" max="15" width="15.33203125" style="132" customWidth="1"/>
    <col min="16" max="16" width="25.33203125" style="132" customWidth="1"/>
    <col min="17" max="17" width="42.21875" style="132" customWidth="1"/>
    <col min="18" max="18" width="18.33203125" style="132" customWidth="1"/>
    <col min="19" max="19" width="11.5546875" style="132"/>
    <col min="20" max="20" width="29.44140625" style="132" bestFit="1" customWidth="1"/>
    <col min="21" max="21" width="12.6640625" style="132" bestFit="1" customWidth="1"/>
    <col min="22" max="22" width="11.6640625" style="132" bestFit="1" customWidth="1"/>
    <col min="23" max="16384" width="11.5546875" style="132"/>
  </cols>
  <sheetData>
    <row r="2" spans="1:22">
      <c r="A2" s="144" t="s">
        <v>151</v>
      </c>
      <c r="B2" s="144"/>
      <c r="C2" s="144"/>
      <c r="D2" s="153" t="s">
        <v>417</v>
      </c>
      <c r="E2" s="153" t="s">
        <v>2288</v>
      </c>
      <c r="F2" s="153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2">
      <c r="A3" s="144" t="s">
        <v>129</v>
      </c>
      <c r="B3" s="144"/>
      <c r="C3" s="144"/>
      <c r="D3" s="752" t="s">
        <v>2289</v>
      </c>
      <c r="E3" s="762">
        <v>2</v>
      </c>
      <c r="F3" s="762" t="s">
        <v>1561</v>
      </c>
      <c r="G3" s="763" t="s">
        <v>129</v>
      </c>
      <c r="H3" s="764" t="s">
        <v>1998</v>
      </c>
      <c r="I3" s="31" t="s">
        <v>2175</v>
      </c>
      <c r="J3" s="31">
        <v>1023643463</v>
      </c>
      <c r="K3" s="763" t="s">
        <v>1191</v>
      </c>
      <c r="L3" s="765">
        <v>21446</v>
      </c>
      <c r="M3" s="766">
        <f ca="1">DATEDIF(L3,TODAY(),"Y")</f>
        <v>67</v>
      </c>
      <c r="N3" s="763" t="s">
        <v>56</v>
      </c>
      <c r="O3" s="31">
        <v>3242615739</v>
      </c>
      <c r="P3" s="767" t="s">
        <v>67</v>
      </c>
      <c r="Q3" s="763" t="s">
        <v>1602</v>
      </c>
      <c r="R3" s="754" t="s">
        <v>876</v>
      </c>
      <c r="S3" s="754" t="s">
        <v>461</v>
      </c>
      <c r="T3" s="765">
        <v>36892</v>
      </c>
      <c r="U3" s="768" t="s">
        <v>166</v>
      </c>
      <c r="V3" s="761" t="s">
        <v>210</v>
      </c>
    </row>
    <row r="4" spans="1:22">
      <c r="D4" s="567"/>
      <c r="E4" s="568">
        <v>2</v>
      </c>
      <c r="F4" s="567" t="s">
        <v>1561</v>
      </c>
      <c r="G4" s="564" t="s">
        <v>129</v>
      </c>
      <c r="H4" s="562" t="s">
        <v>1998</v>
      </c>
      <c r="I4" s="562" t="s">
        <v>2176</v>
      </c>
      <c r="J4" s="562">
        <v>39213876</v>
      </c>
      <c r="K4" s="438" t="s">
        <v>1191</v>
      </c>
      <c r="L4" s="191">
        <v>22024</v>
      </c>
      <c r="M4" s="563">
        <f ca="1">DATEDIF(L4,TODAY(),"Y")</f>
        <v>66</v>
      </c>
      <c r="N4" s="438" t="s">
        <v>56</v>
      </c>
      <c r="O4" s="562">
        <v>3017405133</v>
      </c>
      <c r="P4" s="569" t="s">
        <v>57</v>
      </c>
      <c r="Q4" s="564" t="s">
        <v>1602</v>
      </c>
      <c r="R4" s="203" t="s">
        <v>876</v>
      </c>
      <c r="S4" s="203" t="s">
        <v>1585</v>
      </c>
      <c r="T4" s="191">
        <v>44562</v>
      </c>
      <c r="U4" s="565" t="s">
        <v>160</v>
      </c>
      <c r="V4" s="144" t="s">
        <v>210</v>
      </c>
    </row>
    <row r="5" spans="1:22">
      <c r="A5" s="144" t="s">
        <v>1191</v>
      </c>
      <c r="B5" t="s">
        <v>333</v>
      </c>
      <c r="C5"/>
      <c r="D5" s="567"/>
      <c r="E5" s="567">
        <v>2</v>
      </c>
      <c r="F5" s="567" t="s">
        <v>1561</v>
      </c>
      <c r="G5" s="438" t="s">
        <v>129</v>
      </c>
      <c r="H5" s="562" t="s">
        <v>1998</v>
      </c>
      <c r="I5" s="562" t="s">
        <v>2174</v>
      </c>
      <c r="J5" s="562">
        <v>1146441281</v>
      </c>
      <c r="K5" s="438" t="s">
        <v>1191</v>
      </c>
      <c r="L5" s="191">
        <v>29701</v>
      </c>
      <c r="M5" s="439">
        <f t="shared" ref="M5:M68" ca="1" si="0">DATEDIF(L5,TODAY(),"Y")</f>
        <v>45</v>
      </c>
      <c r="N5" s="438" t="s">
        <v>73</v>
      </c>
      <c r="O5" s="562">
        <v>3243635125</v>
      </c>
      <c r="P5" s="569" t="s">
        <v>74</v>
      </c>
      <c r="Q5" s="438"/>
      <c r="R5" s="203" t="s">
        <v>164</v>
      </c>
      <c r="S5" s="203" t="s">
        <v>663</v>
      </c>
      <c r="T5" s="191">
        <v>42736</v>
      </c>
      <c r="U5" s="565" t="s">
        <v>160</v>
      </c>
      <c r="V5" s="144" t="s">
        <v>210</v>
      </c>
    </row>
    <row r="6" spans="1:22">
      <c r="A6" s="144" t="s">
        <v>1187</v>
      </c>
      <c r="B6" t="s">
        <v>164</v>
      </c>
      <c r="C6"/>
      <c r="D6" s="567"/>
      <c r="E6" s="568">
        <v>2</v>
      </c>
      <c r="F6" s="567" t="s">
        <v>1561</v>
      </c>
      <c r="G6" s="564" t="s">
        <v>129</v>
      </c>
      <c r="H6" s="562" t="s">
        <v>1998</v>
      </c>
      <c r="I6" s="562" t="s">
        <v>2173</v>
      </c>
      <c r="J6" s="562">
        <v>1011397787</v>
      </c>
      <c r="K6" s="438" t="s">
        <v>1187</v>
      </c>
      <c r="L6" s="191">
        <v>27252</v>
      </c>
      <c r="M6" s="563">
        <f t="shared" ca="1" si="0"/>
        <v>51</v>
      </c>
      <c r="N6" s="438" t="s">
        <v>56</v>
      </c>
      <c r="O6" s="562">
        <v>3042042978</v>
      </c>
      <c r="P6" s="569" t="s">
        <v>83</v>
      </c>
      <c r="Q6" s="564" t="s">
        <v>1602</v>
      </c>
      <c r="R6" s="203" t="s">
        <v>1585</v>
      </c>
      <c r="S6" s="203" t="s">
        <v>663</v>
      </c>
      <c r="T6" s="191">
        <v>44197</v>
      </c>
      <c r="U6" s="565" t="s">
        <v>160</v>
      </c>
      <c r="V6" s="144" t="s">
        <v>210</v>
      </c>
    </row>
    <row r="7" spans="1:22">
      <c r="A7" s="144" t="s">
        <v>1585</v>
      </c>
      <c r="B7" t="s">
        <v>321</v>
      </c>
      <c r="C7"/>
      <c r="D7" s="567"/>
      <c r="E7" s="567">
        <v>2</v>
      </c>
      <c r="F7" s="567" t="s">
        <v>1561</v>
      </c>
      <c r="G7" s="438" t="s">
        <v>129</v>
      </c>
      <c r="H7" s="562" t="s">
        <v>1998</v>
      </c>
      <c r="I7" s="562" t="s">
        <v>2172</v>
      </c>
      <c r="J7" s="562">
        <v>1035434038</v>
      </c>
      <c r="K7" s="438" t="s">
        <v>1191</v>
      </c>
      <c r="L7" s="191">
        <v>28704</v>
      </c>
      <c r="M7" s="439">
        <f t="shared" ca="1" si="0"/>
        <v>47</v>
      </c>
      <c r="N7" s="438" t="s">
        <v>56</v>
      </c>
      <c r="O7" s="562">
        <v>3242615732</v>
      </c>
      <c r="P7" s="569" t="s">
        <v>88</v>
      </c>
      <c r="Q7" s="438"/>
      <c r="R7" s="203" t="s">
        <v>1585</v>
      </c>
      <c r="S7" s="203" t="s">
        <v>218</v>
      </c>
      <c r="T7" s="191">
        <v>42736</v>
      </c>
      <c r="U7" s="565" t="s">
        <v>160</v>
      </c>
      <c r="V7" s="144" t="s">
        <v>210</v>
      </c>
    </row>
    <row r="8" spans="1:22">
      <c r="B8" t="s">
        <v>192</v>
      </c>
      <c r="C8"/>
      <c r="D8" s="567"/>
      <c r="E8" s="568">
        <v>2</v>
      </c>
      <c r="F8" s="567" t="s">
        <v>1561</v>
      </c>
      <c r="G8" s="564" t="s">
        <v>129</v>
      </c>
      <c r="H8" s="562" t="s">
        <v>1998</v>
      </c>
      <c r="I8" s="562" t="s">
        <v>2171</v>
      </c>
      <c r="J8" s="562">
        <v>1001363337</v>
      </c>
      <c r="K8" s="438" t="s">
        <v>1191</v>
      </c>
      <c r="L8" s="191">
        <v>37353</v>
      </c>
      <c r="M8" s="563">
        <f t="shared" ca="1" si="0"/>
        <v>24</v>
      </c>
      <c r="N8" s="438" t="s">
        <v>73</v>
      </c>
      <c r="O8" s="562">
        <v>3502166035</v>
      </c>
      <c r="P8" s="569" t="s">
        <v>94</v>
      </c>
      <c r="Q8" s="438"/>
      <c r="R8" s="203" t="s">
        <v>333</v>
      </c>
      <c r="S8" s="203" t="s">
        <v>663</v>
      </c>
      <c r="T8" s="191">
        <v>45658</v>
      </c>
      <c r="U8" s="565" t="s">
        <v>160</v>
      </c>
      <c r="V8" s="144" t="s">
        <v>210</v>
      </c>
    </row>
    <row r="9" spans="1:22">
      <c r="A9" s="144" t="s">
        <v>56</v>
      </c>
      <c r="B9" t="s">
        <v>876</v>
      </c>
      <c r="C9"/>
      <c r="D9" s="567"/>
      <c r="E9" s="567">
        <v>2</v>
      </c>
      <c r="F9" s="567" t="s">
        <v>1561</v>
      </c>
      <c r="G9" s="438" t="s">
        <v>129</v>
      </c>
      <c r="H9" s="562" t="s">
        <v>1998</v>
      </c>
      <c r="I9" s="562" t="s">
        <v>2170</v>
      </c>
      <c r="J9" s="562">
        <v>43816639</v>
      </c>
      <c r="K9" s="438" t="s">
        <v>1191</v>
      </c>
      <c r="L9" s="191">
        <v>39464</v>
      </c>
      <c r="M9" s="439">
        <f t="shared" ca="1" si="0"/>
        <v>18</v>
      </c>
      <c r="N9" s="438" t="s">
        <v>56</v>
      </c>
      <c r="O9" s="562">
        <v>3043882596</v>
      </c>
      <c r="P9" s="569" t="s">
        <v>99</v>
      </c>
      <c r="Q9" s="438"/>
      <c r="R9" s="203" t="s">
        <v>192</v>
      </c>
      <c r="S9" s="203" t="s">
        <v>461</v>
      </c>
      <c r="T9" s="191">
        <v>45658</v>
      </c>
      <c r="U9" s="565" t="s">
        <v>160</v>
      </c>
      <c r="V9" s="144" t="s">
        <v>210</v>
      </c>
    </row>
    <row r="10" spans="1:22">
      <c r="A10" s="144" t="s">
        <v>212</v>
      </c>
      <c r="B10" t="s">
        <v>891</v>
      </c>
      <c r="C10"/>
      <c r="D10" s="567"/>
      <c r="E10" s="568">
        <v>2</v>
      </c>
      <c r="F10" s="567" t="s">
        <v>1561</v>
      </c>
      <c r="G10" s="564" t="s">
        <v>129</v>
      </c>
      <c r="H10" s="562" t="s">
        <v>1998</v>
      </c>
      <c r="I10" s="562" t="s">
        <v>2169</v>
      </c>
      <c r="J10" s="562">
        <v>15332465</v>
      </c>
      <c r="K10" s="438" t="s">
        <v>1187</v>
      </c>
      <c r="L10" s="191">
        <v>36230</v>
      </c>
      <c r="M10" s="563">
        <f t="shared" ca="1" si="0"/>
        <v>27</v>
      </c>
      <c r="N10" s="438" t="s">
        <v>56</v>
      </c>
      <c r="O10" s="562">
        <v>3167639532</v>
      </c>
      <c r="P10" s="569" t="s">
        <v>104</v>
      </c>
      <c r="Q10" s="438"/>
      <c r="R10" s="203" t="s">
        <v>333</v>
      </c>
      <c r="S10" s="203" t="s">
        <v>230</v>
      </c>
      <c r="T10" s="191">
        <v>45658</v>
      </c>
      <c r="U10" s="565" t="s">
        <v>160</v>
      </c>
      <c r="V10" s="144" t="s">
        <v>210</v>
      </c>
    </row>
    <row r="11" spans="1:22">
      <c r="A11" s="144" t="s">
        <v>73</v>
      </c>
      <c r="B11" t="s">
        <v>1585</v>
      </c>
      <c r="C11"/>
      <c r="D11" s="567"/>
      <c r="E11" s="567">
        <v>2</v>
      </c>
      <c r="F11" s="567" t="s">
        <v>1561</v>
      </c>
      <c r="G11" s="438" t="s">
        <v>129</v>
      </c>
      <c r="H11" s="562" t="s">
        <v>1998</v>
      </c>
      <c r="I11" s="562" t="s">
        <v>2168</v>
      </c>
      <c r="J11" s="562">
        <v>3536040</v>
      </c>
      <c r="K11" s="438" t="s">
        <v>1187</v>
      </c>
      <c r="L11" s="191">
        <v>17265</v>
      </c>
      <c r="M11" s="439">
        <f t="shared" ca="1" si="0"/>
        <v>79</v>
      </c>
      <c r="N11" s="438" t="s">
        <v>73</v>
      </c>
      <c r="O11" s="562">
        <v>3160506026</v>
      </c>
      <c r="P11" s="569" t="s">
        <v>110</v>
      </c>
      <c r="Q11" s="438"/>
      <c r="R11" s="203" t="s">
        <v>192</v>
      </c>
      <c r="S11" s="203" t="s">
        <v>663</v>
      </c>
      <c r="T11" s="191">
        <v>37257</v>
      </c>
      <c r="U11" s="565" t="s">
        <v>160</v>
      </c>
      <c r="V11" s="144" t="s">
        <v>210</v>
      </c>
    </row>
    <row r="12" spans="1:22">
      <c r="A12" s="144" t="s">
        <v>272</v>
      </c>
      <c r="B12" s="144"/>
      <c r="C12" s="144"/>
      <c r="D12" s="567"/>
      <c r="E12" s="568">
        <v>2</v>
      </c>
      <c r="F12" s="567" t="s">
        <v>1561</v>
      </c>
      <c r="G12" s="564" t="s">
        <v>129</v>
      </c>
      <c r="H12" s="562" t="s">
        <v>1998</v>
      </c>
      <c r="I12" s="562" t="s">
        <v>2167</v>
      </c>
      <c r="J12" s="562">
        <v>351434886</v>
      </c>
      <c r="K12" s="438" t="s">
        <v>1191</v>
      </c>
      <c r="L12" s="191">
        <v>41027</v>
      </c>
      <c r="M12" s="563">
        <f t="shared" ca="1" si="0"/>
        <v>14</v>
      </c>
      <c r="N12" s="438" t="s">
        <v>114</v>
      </c>
      <c r="O12" s="562">
        <v>3019536303</v>
      </c>
      <c r="P12" s="569" t="s">
        <v>115</v>
      </c>
      <c r="Q12" s="564" t="s">
        <v>1602</v>
      </c>
      <c r="R12" s="203" t="s">
        <v>164</v>
      </c>
      <c r="S12" s="203" t="s">
        <v>663</v>
      </c>
      <c r="T12" s="191">
        <v>44927</v>
      </c>
      <c r="U12" s="565" t="s">
        <v>160</v>
      </c>
      <c r="V12" s="144" t="s">
        <v>210</v>
      </c>
    </row>
    <row r="13" spans="1:22">
      <c r="A13" s="144" t="s">
        <v>114</v>
      </c>
      <c r="B13" s="171" t="s">
        <v>461</v>
      </c>
      <c r="C13" s="171"/>
      <c r="D13" s="567"/>
      <c r="E13" s="567">
        <v>2</v>
      </c>
      <c r="F13" s="567" t="s">
        <v>1561</v>
      </c>
      <c r="G13" s="438" t="s">
        <v>129</v>
      </c>
      <c r="H13" s="562" t="s">
        <v>1998</v>
      </c>
      <c r="I13" s="562" t="s">
        <v>2166</v>
      </c>
      <c r="J13" s="562">
        <v>6212786</v>
      </c>
      <c r="K13" s="438" t="s">
        <v>1187</v>
      </c>
      <c r="L13" s="191">
        <v>34932</v>
      </c>
      <c r="M13" s="439">
        <f t="shared" ca="1" si="0"/>
        <v>30</v>
      </c>
      <c r="N13" s="438" t="s">
        <v>114</v>
      </c>
      <c r="O13" s="562">
        <v>3205879007</v>
      </c>
      <c r="P13" s="569" t="s">
        <v>120</v>
      </c>
      <c r="Q13" s="438"/>
      <c r="R13" s="203" t="s">
        <v>1585</v>
      </c>
      <c r="S13" s="203" t="s">
        <v>170</v>
      </c>
      <c r="T13" s="191">
        <v>42370</v>
      </c>
      <c r="U13" s="565" t="s">
        <v>160</v>
      </c>
      <c r="V13" s="144" t="s">
        <v>210</v>
      </c>
    </row>
    <row r="14" spans="1:22">
      <c r="A14" s="144" t="s">
        <v>1586</v>
      </c>
      <c r="B14" s="171" t="s">
        <v>663</v>
      </c>
      <c r="C14" s="171"/>
      <c r="D14" s="567"/>
      <c r="E14" s="568">
        <v>2</v>
      </c>
      <c r="F14" s="567" t="s">
        <v>1561</v>
      </c>
      <c r="G14" s="564" t="s">
        <v>129</v>
      </c>
      <c r="H14" s="562" t="s">
        <v>1998</v>
      </c>
      <c r="I14" s="562" t="s">
        <v>2165</v>
      </c>
      <c r="J14" s="562">
        <v>1017269613</v>
      </c>
      <c r="K14" s="438" t="s">
        <v>1187</v>
      </c>
      <c r="L14" s="191">
        <v>35582</v>
      </c>
      <c r="M14" s="563">
        <f t="shared" ca="1" si="0"/>
        <v>28</v>
      </c>
      <c r="N14" s="438" t="s">
        <v>56</v>
      </c>
      <c r="O14" s="562">
        <v>3242810777</v>
      </c>
      <c r="P14" s="569" t="s">
        <v>125</v>
      </c>
      <c r="Q14" s="564" t="s">
        <v>1602</v>
      </c>
      <c r="R14" s="203" t="s">
        <v>192</v>
      </c>
      <c r="S14" s="203" t="s">
        <v>193</v>
      </c>
      <c r="T14" s="191">
        <v>43466</v>
      </c>
      <c r="U14" s="565" t="s">
        <v>160</v>
      </c>
      <c r="V14" s="144" t="s">
        <v>210</v>
      </c>
    </row>
    <row r="15" spans="1:22">
      <c r="A15" s="144" t="s">
        <v>227</v>
      </c>
      <c r="B15" s="171" t="s">
        <v>170</v>
      </c>
      <c r="C15" s="171"/>
      <c r="D15" s="567"/>
      <c r="E15" s="567">
        <v>2</v>
      </c>
      <c r="F15" s="567" t="s">
        <v>1561</v>
      </c>
      <c r="G15" s="438" t="s">
        <v>129</v>
      </c>
      <c r="H15" s="562" t="s">
        <v>1998</v>
      </c>
      <c r="I15" s="562" t="s">
        <v>2164</v>
      </c>
      <c r="J15" s="404">
        <v>4938630</v>
      </c>
      <c r="K15" s="438" t="s">
        <v>1191</v>
      </c>
      <c r="L15" s="191">
        <v>40621</v>
      </c>
      <c r="M15" s="439">
        <f t="shared" ca="1" si="0"/>
        <v>15</v>
      </c>
      <c r="N15" s="438"/>
      <c r="O15" s="404">
        <v>3236962242</v>
      </c>
      <c r="P15" s="570" t="s">
        <v>131</v>
      </c>
      <c r="Q15" s="438" t="s">
        <v>1602</v>
      </c>
      <c r="R15" s="203" t="s">
        <v>192</v>
      </c>
      <c r="S15" s="203" t="s">
        <v>193</v>
      </c>
      <c r="T15" s="191">
        <v>44562</v>
      </c>
      <c r="U15" s="565" t="s">
        <v>160</v>
      </c>
      <c r="V15" s="144" t="s">
        <v>210</v>
      </c>
    </row>
    <row r="16" spans="1:22">
      <c r="A16" s="144" t="s">
        <v>1587</v>
      </c>
      <c r="B16" s="171" t="s">
        <v>193</v>
      </c>
      <c r="C16" s="171"/>
      <c r="D16" s="567"/>
      <c r="E16" s="568">
        <v>2</v>
      </c>
      <c r="F16" s="567" t="s">
        <v>1561</v>
      </c>
      <c r="G16" s="564" t="s">
        <v>129</v>
      </c>
      <c r="H16" s="562" t="s">
        <v>1998</v>
      </c>
      <c r="I16" s="562" t="s">
        <v>2163</v>
      </c>
      <c r="J16" s="404">
        <v>1032025586</v>
      </c>
      <c r="K16" s="438" t="s">
        <v>1191</v>
      </c>
      <c r="L16" s="191">
        <v>41585</v>
      </c>
      <c r="M16" s="563">
        <f t="shared" ca="1" si="0"/>
        <v>12</v>
      </c>
      <c r="N16" s="438"/>
      <c r="O16" s="404">
        <v>3244508481</v>
      </c>
      <c r="P16" s="404" t="s">
        <v>135</v>
      </c>
      <c r="Q16" s="564" t="s">
        <v>1602</v>
      </c>
      <c r="R16" s="203" t="s">
        <v>192</v>
      </c>
      <c r="S16" s="203" t="s">
        <v>663</v>
      </c>
      <c r="T16" s="191">
        <v>45292</v>
      </c>
      <c r="U16" s="565" t="s">
        <v>160</v>
      </c>
      <c r="V16" s="144" t="s">
        <v>210</v>
      </c>
    </row>
    <row r="17" spans="1:22">
      <c r="A17" s="144" t="s">
        <v>1588</v>
      </c>
      <c r="B17" s="171" t="s">
        <v>1881</v>
      </c>
      <c r="C17" s="171"/>
      <c r="D17" s="567"/>
      <c r="E17" s="567">
        <v>2</v>
      </c>
      <c r="F17" s="567" t="s">
        <v>1561</v>
      </c>
      <c r="G17" s="438" t="s">
        <v>129</v>
      </c>
      <c r="H17" s="562" t="s">
        <v>1998</v>
      </c>
      <c r="I17" s="562" t="s">
        <v>2162</v>
      </c>
      <c r="J17" s="404">
        <v>1013349911</v>
      </c>
      <c r="K17" s="438" t="s">
        <v>1191</v>
      </c>
      <c r="L17" s="191">
        <v>40968</v>
      </c>
      <c r="M17" s="439">
        <f t="shared" ca="1" si="0"/>
        <v>14</v>
      </c>
      <c r="N17" s="438"/>
      <c r="O17" s="562">
        <v>3122332767</v>
      </c>
      <c r="P17" s="571" t="s">
        <v>138</v>
      </c>
      <c r="Q17" s="438" t="s">
        <v>1602</v>
      </c>
      <c r="R17" s="203" t="s">
        <v>192</v>
      </c>
      <c r="S17" s="203" t="s">
        <v>663</v>
      </c>
      <c r="T17" s="191">
        <v>44562</v>
      </c>
      <c r="U17" s="565" t="s">
        <v>160</v>
      </c>
      <c r="V17" s="144" t="s">
        <v>210</v>
      </c>
    </row>
    <row r="18" spans="1:22">
      <c r="B18" s="171" t="s">
        <v>1882</v>
      </c>
      <c r="C18" s="171"/>
      <c r="D18" s="567"/>
      <c r="E18" s="568">
        <v>2</v>
      </c>
      <c r="F18" s="567" t="s">
        <v>1561</v>
      </c>
      <c r="G18" s="564" t="s">
        <v>129</v>
      </c>
      <c r="H18" s="562" t="s">
        <v>1998</v>
      </c>
      <c r="I18" s="562" t="s">
        <v>2161</v>
      </c>
      <c r="J18" s="562">
        <v>1000189872</v>
      </c>
      <c r="K18" s="438" t="s">
        <v>1191</v>
      </c>
      <c r="L18" s="191">
        <v>36695</v>
      </c>
      <c r="M18" s="563">
        <f t="shared" ca="1" si="0"/>
        <v>25</v>
      </c>
      <c r="N18" s="438"/>
      <c r="O18" s="562">
        <v>3053263861</v>
      </c>
      <c r="P18" s="572" t="s">
        <v>140</v>
      </c>
      <c r="Q18" s="564" t="s">
        <v>1602</v>
      </c>
      <c r="R18" s="203" t="s">
        <v>192</v>
      </c>
      <c r="S18" s="203" t="s">
        <v>663</v>
      </c>
      <c r="T18" s="191">
        <v>45292</v>
      </c>
      <c r="U18" s="565" t="s">
        <v>160</v>
      </c>
      <c r="V18" s="144" t="s">
        <v>210</v>
      </c>
    </row>
    <row r="19" spans="1:22">
      <c r="A19" s="144" t="s">
        <v>160</v>
      </c>
      <c r="B19" s="171" t="s">
        <v>405</v>
      </c>
      <c r="C19" s="171"/>
      <c r="D19" s="567"/>
      <c r="E19" s="567">
        <v>2</v>
      </c>
      <c r="F19" s="567" t="s">
        <v>1561</v>
      </c>
      <c r="G19" s="438" t="s">
        <v>129</v>
      </c>
      <c r="H19" s="562" t="s">
        <v>1998</v>
      </c>
      <c r="I19" s="562" t="s">
        <v>2160</v>
      </c>
      <c r="J19" s="562">
        <v>1047964839</v>
      </c>
      <c r="K19" s="438" t="s">
        <v>1191</v>
      </c>
      <c r="L19" s="191">
        <v>38371</v>
      </c>
      <c r="M19" s="439">
        <f t="shared" ca="1" si="0"/>
        <v>21</v>
      </c>
      <c r="N19" s="438"/>
      <c r="O19" s="562">
        <v>3207588684</v>
      </c>
      <c r="P19" s="562" t="s">
        <v>143</v>
      </c>
      <c r="Q19" s="438" t="s">
        <v>1602</v>
      </c>
      <c r="R19" s="203" t="s">
        <v>164</v>
      </c>
      <c r="S19" s="203" t="s">
        <v>193</v>
      </c>
      <c r="T19" s="191">
        <v>44927</v>
      </c>
      <c r="U19" s="565" t="s">
        <v>160</v>
      </c>
      <c r="V19" s="144" t="s">
        <v>210</v>
      </c>
    </row>
    <row r="20" spans="1:22">
      <c r="A20" s="144" t="s">
        <v>166</v>
      </c>
      <c r="B20" s="171" t="s">
        <v>1883</v>
      </c>
      <c r="C20" s="171"/>
      <c r="D20" s="567"/>
      <c r="E20" s="568">
        <v>2</v>
      </c>
      <c r="F20" s="567" t="s">
        <v>1561</v>
      </c>
      <c r="G20" s="564" t="s">
        <v>129</v>
      </c>
      <c r="H20" s="562" t="s">
        <v>1998</v>
      </c>
      <c r="I20" s="562" t="s">
        <v>2159</v>
      </c>
      <c r="J20" s="562">
        <v>70104987</v>
      </c>
      <c r="K20" s="438" t="s">
        <v>1187</v>
      </c>
      <c r="L20" s="191">
        <v>21121</v>
      </c>
      <c r="M20" s="563">
        <f t="shared" ca="1" si="0"/>
        <v>68</v>
      </c>
      <c r="N20" s="438"/>
      <c r="O20" s="562">
        <v>3242615763</v>
      </c>
      <c r="P20" s="573" t="s">
        <v>145</v>
      </c>
      <c r="Q20" s="564" t="s">
        <v>1602</v>
      </c>
      <c r="R20" s="203" t="s">
        <v>321</v>
      </c>
      <c r="S20" s="203" t="s">
        <v>230</v>
      </c>
      <c r="T20" s="191">
        <v>41275</v>
      </c>
      <c r="U20" s="565" t="s">
        <v>160</v>
      </c>
      <c r="V20" s="144" t="s">
        <v>210</v>
      </c>
    </row>
    <row r="21" spans="1:22">
      <c r="B21" s="171" t="s">
        <v>230</v>
      </c>
      <c r="C21" s="171"/>
      <c r="D21" s="753" t="s">
        <v>2290</v>
      </c>
      <c r="E21" s="762">
        <v>2</v>
      </c>
      <c r="F21" s="762" t="s">
        <v>1561</v>
      </c>
      <c r="G21" s="763" t="s">
        <v>151</v>
      </c>
      <c r="H21" s="31" t="s">
        <v>2148</v>
      </c>
      <c r="I21" s="31" t="s">
        <v>2154</v>
      </c>
      <c r="J21" s="770">
        <v>1017274765</v>
      </c>
      <c r="K21" s="763" t="s">
        <v>1187</v>
      </c>
      <c r="L21" s="771">
        <v>29705</v>
      </c>
      <c r="M21" s="766">
        <f t="shared" ca="1" si="0"/>
        <v>45</v>
      </c>
      <c r="N21" s="763"/>
      <c r="O21" s="770">
        <v>3147681539</v>
      </c>
      <c r="P21" s="770" t="s">
        <v>2153</v>
      </c>
      <c r="Q21" s="763" t="s">
        <v>1603</v>
      </c>
      <c r="R21" s="754" t="s">
        <v>164</v>
      </c>
      <c r="S21" s="754" t="s">
        <v>663</v>
      </c>
      <c r="T21" s="771">
        <v>45889</v>
      </c>
      <c r="U21" s="768" t="s">
        <v>166</v>
      </c>
      <c r="V21" s="761" t="s">
        <v>210</v>
      </c>
    </row>
    <row r="22" spans="1:22">
      <c r="A22" s="144" t="s">
        <v>1602</v>
      </c>
      <c r="B22" s="171" t="s">
        <v>1884</v>
      </c>
      <c r="C22" s="171"/>
      <c r="D22" s="576"/>
      <c r="E22" s="577">
        <v>2</v>
      </c>
      <c r="F22" s="576" t="s">
        <v>1561</v>
      </c>
      <c r="G22" s="440" t="s">
        <v>151</v>
      </c>
      <c r="H22" s="554" t="s">
        <v>2148</v>
      </c>
      <c r="I22" s="554" t="s">
        <v>2158</v>
      </c>
      <c r="J22" s="555">
        <v>43520581</v>
      </c>
      <c r="K22" s="440" t="s">
        <v>1191</v>
      </c>
      <c r="L22" s="556">
        <v>24775</v>
      </c>
      <c r="M22" s="578">
        <f t="shared" ca="1" si="0"/>
        <v>58</v>
      </c>
      <c r="N22" s="440"/>
      <c r="O22" s="555">
        <v>3004751604</v>
      </c>
      <c r="P22" s="555" t="s">
        <v>2157</v>
      </c>
      <c r="Q22" s="440" t="s">
        <v>1603</v>
      </c>
      <c r="R22" s="204" t="s">
        <v>891</v>
      </c>
      <c r="S22" s="204" t="s">
        <v>461</v>
      </c>
      <c r="T22" s="557">
        <v>45889</v>
      </c>
      <c r="U22" s="579" t="s">
        <v>160</v>
      </c>
      <c r="V22" s="144" t="s">
        <v>210</v>
      </c>
    </row>
    <row r="23" spans="1:22">
      <c r="A23" s="144" t="s">
        <v>1603</v>
      </c>
      <c r="B23" s="171" t="s">
        <v>1885</v>
      </c>
      <c r="C23" s="171"/>
      <c r="D23" s="576"/>
      <c r="E23" s="576">
        <v>2</v>
      </c>
      <c r="F23" s="576" t="s">
        <v>1561</v>
      </c>
      <c r="G23" s="440" t="s">
        <v>151</v>
      </c>
      <c r="H23" s="554" t="s">
        <v>2148</v>
      </c>
      <c r="I23" s="554" t="s">
        <v>2156</v>
      </c>
      <c r="J23" s="466">
        <v>43822172</v>
      </c>
      <c r="K23" s="440" t="s">
        <v>1191</v>
      </c>
      <c r="L23" s="558">
        <v>30516</v>
      </c>
      <c r="M23" s="441">
        <f t="shared" ca="1" si="0"/>
        <v>42</v>
      </c>
      <c r="N23" s="440"/>
      <c r="O23" s="466">
        <v>3146119527</v>
      </c>
      <c r="P23" s="466" t="s">
        <v>2155</v>
      </c>
      <c r="Q23" s="440" t="s">
        <v>1603</v>
      </c>
      <c r="R23" s="204" t="s">
        <v>164</v>
      </c>
      <c r="S23" s="204" t="s">
        <v>461</v>
      </c>
      <c r="T23" s="558">
        <v>45889</v>
      </c>
      <c r="U23" s="579" t="s">
        <v>160</v>
      </c>
      <c r="V23" s="144" t="s">
        <v>210</v>
      </c>
    </row>
    <row r="24" spans="1:22">
      <c r="A24" s="144" t="s">
        <v>1604</v>
      </c>
      <c r="B24" s="171" t="s">
        <v>1886</v>
      </c>
      <c r="C24" s="171"/>
      <c r="D24" s="576"/>
      <c r="E24" s="577">
        <v>2</v>
      </c>
      <c r="F24" s="576" t="s">
        <v>1561</v>
      </c>
      <c r="G24" s="440" t="s">
        <v>151</v>
      </c>
      <c r="H24" s="554" t="s">
        <v>2148</v>
      </c>
      <c r="I24" s="554" t="s">
        <v>2152</v>
      </c>
      <c r="J24" s="466">
        <v>43433593</v>
      </c>
      <c r="K24" s="440" t="s">
        <v>1191</v>
      </c>
      <c r="L24" s="558">
        <v>23743</v>
      </c>
      <c r="M24" s="578">
        <f t="shared" ca="1" si="0"/>
        <v>61</v>
      </c>
      <c r="N24" s="440"/>
      <c r="O24" s="466">
        <v>3197725932</v>
      </c>
      <c r="P24" s="466" t="s">
        <v>2151</v>
      </c>
      <c r="Q24" s="440" t="s">
        <v>1603</v>
      </c>
      <c r="R24" s="204" t="s">
        <v>891</v>
      </c>
      <c r="S24" s="204" t="s">
        <v>461</v>
      </c>
      <c r="T24" s="558">
        <v>45889</v>
      </c>
      <c r="U24" s="579" t="s">
        <v>160</v>
      </c>
      <c r="V24" s="144" t="s">
        <v>210</v>
      </c>
    </row>
    <row r="25" spans="1:22">
      <c r="A25" s="132" t="s">
        <v>1605</v>
      </c>
      <c r="B25" s="171" t="s">
        <v>1887</v>
      </c>
      <c r="C25" s="171"/>
      <c r="D25" s="576"/>
      <c r="E25" s="576">
        <v>2</v>
      </c>
      <c r="F25" s="576" t="s">
        <v>1561</v>
      </c>
      <c r="G25" s="440" t="s">
        <v>151</v>
      </c>
      <c r="H25" s="554" t="s">
        <v>2148</v>
      </c>
      <c r="I25" s="554" t="s">
        <v>2150</v>
      </c>
      <c r="J25" s="466">
        <v>43427386</v>
      </c>
      <c r="K25" s="440" t="s">
        <v>1191</v>
      </c>
      <c r="L25" s="558">
        <v>23254</v>
      </c>
      <c r="M25" s="441">
        <f t="shared" ca="1" si="0"/>
        <v>62</v>
      </c>
      <c r="N25" s="440"/>
      <c r="O25" s="466">
        <v>3205754736</v>
      </c>
      <c r="P25" s="466" t="s">
        <v>2149</v>
      </c>
      <c r="Q25" s="440" t="s">
        <v>1603</v>
      </c>
      <c r="R25" s="204" t="s">
        <v>333</v>
      </c>
      <c r="S25" s="204" t="s">
        <v>461</v>
      </c>
      <c r="T25" s="558">
        <v>45889</v>
      </c>
      <c r="U25" s="579" t="s">
        <v>160</v>
      </c>
      <c r="V25" s="144" t="s">
        <v>210</v>
      </c>
    </row>
    <row r="26" spans="1:22">
      <c r="A26" s="132" t="s">
        <v>1606</v>
      </c>
      <c r="B26" s="171" t="s">
        <v>1888</v>
      </c>
      <c r="C26" s="171"/>
      <c r="D26" s="576"/>
      <c r="E26" s="577">
        <v>2</v>
      </c>
      <c r="F26" s="576" t="s">
        <v>1561</v>
      </c>
      <c r="G26" s="440" t="s">
        <v>151</v>
      </c>
      <c r="H26" s="554" t="s">
        <v>2148</v>
      </c>
      <c r="I26" s="554" t="s">
        <v>2147</v>
      </c>
      <c r="J26" s="466">
        <v>42685012</v>
      </c>
      <c r="K26" s="440" t="s">
        <v>1191</v>
      </c>
      <c r="L26" s="558">
        <v>23527</v>
      </c>
      <c r="M26" s="578">
        <f t="shared" ca="1" si="0"/>
        <v>61</v>
      </c>
      <c r="N26" s="440"/>
      <c r="O26" s="466">
        <v>3165495794</v>
      </c>
      <c r="P26" s="466" t="s">
        <v>2146</v>
      </c>
      <c r="Q26" s="440" t="s">
        <v>1603</v>
      </c>
      <c r="R26" s="204" t="s">
        <v>164</v>
      </c>
      <c r="S26" s="204" t="s">
        <v>663</v>
      </c>
      <c r="T26" s="558">
        <v>45889</v>
      </c>
      <c r="U26" s="579" t="s">
        <v>160</v>
      </c>
      <c r="V26" s="144" t="s">
        <v>210</v>
      </c>
    </row>
    <row r="27" spans="1:22">
      <c r="A27" s="144" t="s">
        <v>1607</v>
      </c>
      <c r="B27" s="171" t="s">
        <v>1889</v>
      </c>
      <c r="C27" s="171"/>
      <c r="D27" s="753" t="s">
        <v>2290</v>
      </c>
      <c r="E27" s="762">
        <v>2</v>
      </c>
      <c r="F27" s="762" t="s">
        <v>1561</v>
      </c>
      <c r="G27" s="763" t="s">
        <v>151</v>
      </c>
      <c r="H27" s="31" t="s">
        <v>2110</v>
      </c>
      <c r="I27" s="31" t="s">
        <v>2145</v>
      </c>
      <c r="J27" s="770">
        <v>98497082</v>
      </c>
      <c r="K27" s="763" t="s">
        <v>1187</v>
      </c>
      <c r="L27" s="771">
        <v>24753</v>
      </c>
      <c r="M27" s="766">
        <f t="shared" ca="1" si="0"/>
        <v>58</v>
      </c>
      <c r="N27" s="763"/>
      <c r="O27" s="770">
        <v>3117424814</v>
      </c>
      <c r="P27" s="770" t="s">
        <v>2144</v>
      </c>
      <c r="Q27" s="763" t="s">
        <v>1604</v>
      </c>
      <c r="R27" s="754" t="s">
        <v>333</v>
      </c>
      <c r="S27" s="754" t="s">
        <v>193</v>
      </c>
      <c r="T27" s="772">
        <v>45889</v>
      </c>
      <c r="U27" s="768" t="s">
        <v>166</v>
      </c>
      <c r="V27" s="761" t="s">
        <v>210</v>
      </c>
    </row>
    <row r="28" spans="1:22">
      <c r="A28" s="144" t="s">
        <v>1608</v>
      </c>
      <c r="B28" s="171" t="s">
        <v>1890</v>
      </c>
      <c r="C28" s="171"/>
      <c r="D28" s="582"/>
      <c r="E28" s="585">
        <v>2</v>
      </c>
      <c r="F28" s="582" t="s">
        <v>1561</v>
      </c>
      <c r="G28" s="442" t="s">
        <v>151</v>
      </c>
      <c r="H28" s="559" t="s">
        <v>2110</v>
      </c>
      <c r="I28" s="559" t="s">
        <v>2143</v>
      </c>
      <c r="J28" s="481">
        <v>21387280</v>
      </c>
      <c r="K28" s="442" t="s">
        <v>1191</v>
      </c>
      <c r="L28" s="584">
        <v>20019</v>
      </c>
      <c r="M28" s="586">
        <f t="shared" ca="1" si="0"/>
        <v>71</v>
      </c>
      <c r="N28" s="442"/>
      <c r="O28" s="481">
        <v>3113247725</v>
      </c>
      <c r="P28" s="481" t="s">
        <v>2142</v>
      </c>
      <c r="Q28" s="442" t="s">
        <v>1604</v>
      </c>
      <c r="R28" s="188" t="s">
        <v>876</v>
      </c>
      <c r="S28" s="188" t="s">
        <v>461</v>
      </c>
      <c r="T28" s="584">
        <v>45889</v>
      </c>
      <c r="U28" s="587" t="s">
        <v>160</v>
      </c>
      <c r="V28" s="144" t="s">
        <v>210</v>
      </c>
    </row>
    <row r="29" spans="1:22">
      <c r="A29" s="144" t="s">
        <v>1609</v>
      </c>
      <c r="B29" s="171" t="s">
        <v>1891</v>
      </c>
      <c r="C29" s="171"/>
      <c r="D29" s="582"/>
      <c r="E29" s="582">
        <v>2</v>
      </c>
      <c r="F29" s="582" t="s">
        <v>1561</v>
      </c>
      <c r="G29" s="442" t="s">
        <v>151</v>
      </c>
      <c r="H29" s="559" t="s">
        <v>2110</v>
      </c>
      <c r="I29" s="559" t="s">
        <v>2141</v>
      </c>
      <c r="J29" s="481">
        <v>43538921</v>
      </c>
      <c r="K29" s="442" t="s">
        <v>1191</v>
      </c>
      <c r="L29" s="583">
        <v>24715</v>
      </c>
      <c r="M29" s="443">
        <f t="shared" ca="1" si="0"/>
        <v>58</v>
      </c>
      <c r="N29" s="442"/>
      <c r="O29" s="481">
        <v>3233301335</v>
      </c>
      <c r="P29" s="481"/>
      <c r="Q29" s="442" t="s">
        <v>1604</v>
      </c>
      <c r="R29" s="188" t="s">
        <v>891</v>
      </c>
      <c r="S29" s="188" t="s">
        <v>230</v>
      </c>
      <c r="T29" s="584">
        <v>45889</v>
      </c>
      <c r="U29" s="587" t="s">
        <v>160</v>
      </c>
      <c r="V29" s="144" t="s">
        <v>210</v>
      </c>
    </row>
    <row r="30" spans="1:22">
      <c r="A30" s="144" t="s">
        <v>1610</v>
      </c>
      <c r="B30" s="171" t="s">
        <v>1892</v>
      </c>
      <c r="C30" s="171"/>
      <c r="D30" s="582"/>
      <c r="E30" s="585">
        <v>2</v>
      </c>
      <c r="F30" s="582" t="s">
        <v>1561</v>
      </c>
      <c r="G30" s="442" t="s">
        <v>151</v>
      </c>
      <c r="H30" s="559" t="s">
        <v>2110</v>
      </c>
      <c r="I30" s="559" t="s">
        <v>2140</v>
      </c>
      <c r="J30" s="481">
        <v>43101757</v>
      </c>
      <c r="K30" s="442" t="s">
        <v>1191</v>
      </c>
      <c r="L30" s="583">
        <v>28360</v>
      </c>
      <c r="M30" s="586">
        <f t="shared" ca="1" si="0"/>
        <v>48</v>
      </c>
      <c r="N30" s="442"/>
      <c r="O30" s="481">
        <v>3233019558</v>
      </c>
      <c r="P30" s="481" t="s">
        <v>2139</v>
      </c>
      <c r="Q30" s="442" t="s">
        <v>1604</v>
      </c>
      <c r="R30" s="188" t="s">
        <v>164</v>
      </c>
      <c r="S30" s="188" t="s">
        <v>230</v>
      </c>
      <c r="T30" s="584">
        <v>45889</v>
      </c>
      <c r="U30" s="587" t="s">
        <v>160</v>
      </c>
      <c r="V30" s="144" t="s">
        <v>210</v>
      </c>
    </row>
    <row r="31" spans="1:22">
      <c r="A31" s="144" t="s">
        <v>1561</v>
      </c>
      <c r="B31" s="171" t="s">
        <v>1893</v>
      </c>
      <c r="C31" s="171"/>
      <c r="D31" s="582"/>
      <c r="E31" s="582">
        <v>2</v>
      </c>
      <c r="F31" s="582" t="s">
        <v>1561</v>
      </c>
      <c r="G31" s="442" t="s">
        <v>151</v>
      </c>
      <c r="H31" s="559" t="s">
        <v>2110</v>
      </c>
      <c r="I31" s="559" t="s">
        <v>2138</v>
      </c>
      <c r="J31" s="481">
        <v>71756901</v>
      </c>
      <c r="K31" s="442" t="s">
        <v>1187</v>
      </c>
      <c r="L31" s="583">
        <v>28379</v>
      </c>
      <c r="M31" s="443">
        <f t="shared" ca="1" si="0"/>
        <v>48</v>
      </c>
      <c r="N31" s="442"/>
      <c r="O31" s="481">
        <v>3106610177</v>
      </c>
      <c r="P31" s="481"/>
      <c r="Q31" s="442" t="s">
        <v>1604</v>
      </c>
      <c r="R31" s="188" t="s">
        <v>164</v>
      </c>
      <c r="S31" s="188" t="s">
        <v>663</v>
      </c>
      <c r="T31" s="584">
        <v>45889</v>
      </c>
      <c r="U31" s="587" t="s">
        <v>160</v>
      </c>
      <c r="V31" s="144" t="s">
        <v>210</v>
      </c>
    </row>
    <row r="32" spans="1:22">
      <c r="A32" s="144" t="s">
        <v>1611</v>
      </c>
      <c r="B32" s="171" t="s">
        <v>1894</v>
      </c>
      <c r="C32" s="171"/>
      <c r="D32" s="582"/>
      <c r="E32" s="585">
        <v>2</v>
      </c>
      <c r="F32" s="582" t="s">
        <v>1561</v>
      </c>
      <c r="G32" s="442" t="s">
        <v>151</v>
      </c>
      <c r="H32" s="559" t="s">
        <v>2110</v>
      </c>
      <c r="I32" s="559" t="s">
        <v>2137</v>
      </c>
      <c r="J32" s="481">
        <v>32529778</v>
      </c>
      <c r="K32" s="442" t="s">
        <v>1191</v>
      </c>
      <c r="L32" s="583">
        <v>21462</v>
      </c>
      <c r="M32" s="586">
        <f t="shared" ca="1" si="0"/>
        <v>67</v>
      </c>
      <c r="N32" s="442"/>
      <c r="O32" s="481">
        <v>3146275248</v>
      </c>
      <c r="P32" s="481" t="s">
        <v>2136</v>
      </c>
      <c r="Q32" s="442" t="s">
        <v>1604</v>
      </c>
      <c r="R32" s="188" t="s">
        <v>891</v>
      </c>
      <c r="S32" s="188" t="s">
        <v>663</v>
      </c>
      <c r="T32" s="584">
        <v>45889</v>
      </c>
      <c r="U32" s="587" t="s">
        <v>160</v>
      </c>
      <c r="V32" s="144" t="s">
        <v>210</v>
      </c>
    </row>
    <row r="33" spans="2:22">
      <c r="B33" s="171" t="s">
        <v>1895</v>
      </c>
      <c r="C33" s="171"/>
      <c r="D33" s="753" t="s">
        <v>2290</v>
      </c>
      <c r="E33" s="762">
        <v>2</v>
      </c>
      <c r="F33" s="762" t="s">
        <v>1561</v>
      </c>
      <c r="G33" s="763" t="s">
        <v>151</v>
      </c>
      <c r="H33" s="31" t="s">
        <v>2123</v>
      </c>
      <c r="I33" s="31" t="s">
        <v>2129</v>
      </c>
      <c r="J33" s="770">
        <v>1035421467</v>
      </c>
      <c r="K33" s="763" t="s">
        <v>1187</v>
      </c>
      <c r="L33" s="773">
        <v>32617</v>
      </c>
      <c r="M33" s="766">
        <f t="shared" ca="1" si="0"/>
        <v>37</v>
      </c>
      <c r="N33" s="763"/>
      <c r="O33" s="770">
        <v>3136889502</v>
      </c>
      <c r="P33" s="770" t="s">
        <v>2128</v>
      </c>
      <c r="Q33" s="763"/>
      <c r="R33" s="754" t="s">
        <v>164</v>
      </c>
      <c r="S33" s="754" t="s">
        <v>663</v>
      </c>
      <c r="T33" s="772">
        <v>46626</v>
      </c>
      <c r="U33" s="768" t="s">
        <v>166</v>
      </c>
      <c r="V33" s="761" t="s">
        <v>210</v>
      </c>
    </row>
    <row r="34" spans="2:22">
      <c r="B34" s="171" t="s">
        <v>1896</v>
      </c>
      <c r="C34" s="171"/>
      <c r="D34" s="588"/>
      <c r="E34" s="590">
        <v>2</v>
      </c>
      <c r="F34" s="588" t="s">
        <v>1561</v>
      </c>
      <c r="G34" s="136" t="s">
        <v>151</v>
      </c>
      <c r="H34" s="560" t="s">
        <v>2123</v>
      </c>
      <c r="I34" s="560" t="s">
        <v>2135</v>
      </c>
      <c r="J34" s="561">
        <v>1035421298</v>
      </c>
      <c r="K34" s="136" t="s">
        <v>1191</v>
      </c>
      <c r="L34" s="589">
        <v>32602</v>
      </c>
      <c r="M34" s="591">
        <f t="shared" ca="1" si="0"/>
        <v>37</v>
      </c>
      <c r="N34" s="136"/>
      <c r="O34" s="561">
        <v>3219043546</v>
      </c>
      <c r="P34" s="561" t="s">
        <v>2134</v>
      </c>
      <c r="Q34" s="592" t="s">
        <v>1603</v>
      </c>
      <c r="R34" s="202" t="s">
        <v>333</v>
      </c>
      <c r="S34" s="202" t="s">
        <v>663</v>
      </c>
      <c r="T34" s="589">
        <v>45896</v>
      </c>
      <c r="U34" s="593" t="s">
        <v>160</v>
      </c>
      <c r="V34" s="144" t="s">
        <v>210</v>
      </c>
    </row>
    <row r="35" spans="2:22">
      <c r="B35" s="170" t="s">
        <v>1899</v>
      </c>
      <c r="C35" s="170"/>
      <c r="D35" s="588"/>
      <c r="E35" s="588">
        <v>2</v>
      </c>
      <c r="F35" s="588" t="s">
        <v>1561</v>
      </c>
      <c r="G35" s="136" t="s">
        <v>151</v>
      </c>
      <c r="H35" s="560" t="s">
        <v>2123</v>
      </c>
      <c r="I35" s="560" t="s">
        <v>2133</v>
      </c>
      <c r="J35" s="561">
        <v>1020398294</v>
      </c>
      <c r="K35" s="136" t="s">
        <v>1191</v>
      </c>
      <c r="L35" s="589">
        <v>27953</v>
      </c>
      <c r="M35" s="482">
        <f t="shared" ca="1" si="0"/>
        <v>49</v>
      </c>
      <c r="N35" s="136"/>
      <c r="O35" s="561">
        <v>3147614796</v>
      </c>
      <c r="P35" s="561" t="s">
        <v>2132</v>
      </c>
      <c r="Q35" s="592" t="s">
        <v>1603</v>
      </c>
      <c r="R35" s="202" t="s">
        <v>891</v>
      </c>
      <c r="S35" s="202" t="s">
        <v>193</v>
      </c>
      <c r="T35" s="589">
        <v>45896</v>
      </c>
      <c r="U35" s="593" t="s">
        <v>160</v>
      </c>
      <c r="V35" s="144" t="s">
        <v>210</v>
      </c>
    </row>
    <row r="36" spans="2:22">
      <c r="B36" s="170" t="s">
        <v>1900</v>
      </c>
      <c r="C36" s="170"/>
      <c r="D36" s="588"/>
      <c r="E36" s="590">
        <v>2</v>
      </c>
      <c r="F36" s="588" t="s">
        <v>1561</v>
      </c>
      <c r="G36" s="136" t="s">
        <v>151</v>
      </c>
      <c r="H36" s="560" t="s">
        <v>2123</v>
      </c>
      <c r="I36" s="560" t="s">
        <v>2131</v>
      </c>
      <c r="J36" s="561">
        <v>1018228388</v>
      </c>
      <c r="K36" s="136" t="s">
        <v>1187</v>
      </c>
      <c r="L36" s="594">
        <v>36033</v>
      </c>
      <c r="M36" s="591">
        <f t="shared" ca="1" si="0"/>
        <v>27</v>
      </c>
      <c r="N36" s="136"/>
      <c r="O36" s="561">
        <v>3505750461</v>
      </c>
      <c r="P36" s="561" t="s">
        <v>2130</v>
      </c>
      <c r="Q36" s="592"/>
      <c r="R36" s="202" t="s">
        <v>164</v>
      </c>
      <c r="S36" s="202" t="s">
        <v>193</v>
      </c>
      <c r="T36" s="589">
        <v>46261</v>
      </c>
      <c r="U36" s="593" t="s">
        <v>160</v>
      </c>
      <c r="V36" s="144" t="s">
        <v>210</v>
      </c>
    </row>
    <row r="37" spans="2:22">
      <c r="B37" t="s">
        <v>1898</v>
      </c>
      <c r="C37"/>
      <c r="D37" s="588"/>
      <c r="E37" s="588">
        <v>2</v>
      </c>
      <c r="F37" s="588" t="s">
        <v>1561</v>
      </c>
      <c r="G37" s="136" t="s">
        <v>151</v>
      </c>
      <c r="H37" s="560" t="s">
        <v>2123</v>
      </c>
      <c r="I37" s="560" t="s">
        <v>2127</v>
      </c>
      <c r="J37" s="561">
        <v>43901733</v>
      </c>
      <c r="K37" s="136" t="s">
        <v>1191</v>
      </c>
      <c r="L37" s="594">
        <v>29674</v>
      </c>
      <c r="M37" s="482">
        <f t="shared" ca="1" si="0"/>
        <v>45</v>
      </c>
      <c r="N37" s="136"/>
      <c r="O37" s="561">
        <v>3024476807</v>
      </c>
      <c r="P37" s="561" t="s">
        <v>2126</v>
      </c>
      <c r="Q37" s="592" t="s">
        <v>1603</v>
      </c>
      <c r="R37" s="202" t="s">
        <v>333</v>
      </c>
      <c r="S37" s="202" t="s">
        <v>663</v>
      </c>
      <c r="T37" s="589">
        <v>46992</v>
      </c>
      <c r="U37" s="593" t="s">
        <v>160</v>
      </c>
      <c r="V37" s="144" t="s">
        <v>210</v>
      </c>
    </row>
    <row r="38" spans="2:22">
      <c r="B38" s="144" t="s">
        <v>218</v>
      </c>
      <c r="C38" s="144"/>
      <c r="D38" s="588"/>
      <c r="E38" s="590">
        <v>2</v>
      </c>
      <c r="F38" s="588" t="s">
        <v>1561</v>
      </c>
      <c r="G38" s="136" t="s">
        <v>151</v>
      </c>
      <c r="H38" s="560" t="s">
        <v>2123</v>
      </c>
      <c r="I38" s="560" t="s">
        <v>2125</v>
      </c>
      <c r="J38" s="561">
        <v>1128437308</v>
      </c>
      <c r="K38" s="136" t="s">
        <v>1191</v>
      </c>
      <c r="L38" s="594">
        <v>33315</v>
      </c>
      <c r="M38" s="591">
        <f t="shared" ca="1" si="0"/>
        <v>35</v>
      </c>
      <c r="N38" s="136"/>
      <c r="O38" s="561">
        <v>3175450226</v>
      </c>
      <c r="P38" s="561" t="s">
        <v>2124</v>
      </c>
      <c r="Q38" s="592"/>
      <c r="R38" s="202" t="s">
        <v>333</v>
      </c>
      <c r="S38" s="202" t="s">
        <v>663</v>
      </c>
      <c r="T38" s="589">
        <v>47357</v>
      </c>
      <c r="U38" s="593" t="s">
        <v>160</v>
      </c>
      <c r="V38" s="144" t="s">
        <v>210</v>
      </c>
    </row>
    <row r="39" spans="2:22">
      <c r="B39" s="144" t="s">
        <v>1585</v>
      </c>
      <c r="C39" s="144"/>
      <c r="D39" s="753" t="s">
        <v>2290</v>
      </c>
      <c r="E39" s="762">
        <v>2</v>
      </c>
      <c r="F39" s="762" t="s">
        <v>1561</v>
      </c>
      <c r="G39" s="763" t="s">
        <v>151</v>
      </c>
      <c r="H39" s="31" t="s">
        <v>2008</v>
      </c>
      <c r="I39" s="31" t="s">
        <v>2119</v>
      </c>
      <c r="J39" s="770">
        <v>1146441281</v>
      </c>
      <c r="K39" s="763" t="s">
        <v>1191</v>
      </c>
      <c r="L39" s="771">
        <v>35582</v>
      </c>
      <c r="M39" s="766">
        <f t="shared" ca="1" si="0"/>
        <v>28</v>
      </c>
      <c r="N39" s="763"/>
      <c r="O39" s="770">
        <v>3242810777</v>
      </c>
      <c r="P39" s="770" t="s">
        <v>2118</v>
      </c>
      <c r="Q39" s="763" t="s">
        <v>1602</v>
      </c>
      <c r="R39" s="754" t="s">
        <v>1585</v>
      </c>
      <c r="S39" s="754" t="s">
        <v>193</v>
      </c>
      <c r="T39" s="771">
        <v>45905</v>
      </c>
      <c r="U39" s="768" t="s">
        <v>166</v>
      </c>
      <c r="V39" s="761" t="s">
        <v>210</v>
      </c>
    </row>
    <row r="40" spans="2:22">
      <c r="D40" s="567"/>
      <c r="E40" s="568">
        <v>2</v>
      </c>
      <c r="F40" s="567" t="s">
        <v>1561</v>
      </c>
      <c r="G40" s="438" t="s">
        <v>151</v>
      </c>
      <c r="H40" s="562" t="s">
        <v>2008</v>
      </c>
      <c r="I40" s="562" t="s">
        <v>2122</v>
      </c>
      <c r="J40" s="465">
        <v>98643444</v>
      </c>
      <c r="K40" s="438" t="s">
        <v>1187</v>
      </c>
      <c r="L40" s="575">
        <v>27724</v>
      </c>
      <c r="M40" s="563">
        <f t="shared" ca="1" si="0"/>
        <v>50</v>
      </c>
      <c r="N40" s="438"/>
      <c r="O40" s="465">
        <v>3003908869</v>
      </c>
      <c r="P40" s="465" t="s">
        <v>2121</v>
      </c>
      <c r="Q40" s="564" t="s">
        <v>1602</v>
      </c>
      <c r="R40" s="203" t="s">
        <v>164</v>
      </c>
      <c r="S40" s="203" t="s">
        <v>663</v>
      </c>
      <c r="T40" s="574">
        <v>45905</v>
      </c>
      <c r="U40" s="565" t="s">
        <v>160</v>
      </c>
      <c r="V40" s="144" t="s">
        <v>210</v>
      </c>
    </row>
    <row r="41" spans="2:22">
      <c r="D41" s="567"/>
      <c r="E41" s="567">
        <v>2</v>
      </c>
      <c r="F41" s="567" t="s">
        <v>1561</v>
      </c>
      <c r="G41" s="438" t="s">
        <v>151</v>
      </c>
      <c r="H41" s="562" t="s">
        <v>2008</v>
      </c>
      <c r="I41" s="562" t="s">
        <v>2120</v>
      </c>
      <c r="J41" s="465">
        <v>6212786</v>
      </c>
      <c r="K41" s="438" t="s">
        <v>1187</v>
      </c>
      <c r="L41" s="574">
        <v>22024</v>
      </c>
      <c r="M41" s="439">
        <f t="shared" ca="1" si="0"/>
        <v>66</v>
      </c>
      <c r="N41" s="438"/>
      <c r="O41" s="465">
        <v>3017405133</v>
      </c>
      <c r="P41" s="465"/>
      <c r="Q41" s="438" t="s">
        <v>1602</v>
      </c>
      <c r="R41" s="203" t="s">
        <v>876</v>
      </c>
      <c r="S41" s="203" t="s">
        <v>1898</v>
      </c>
      <c r="T41" s="574">
        <v>45905</v>
      </c>
      <c r="U41" s="565" t="s">
        <v>160</v>
      </c>
      <c r="V41" s="144" t="s">
        <v>210</v>
      </c>
    </row>
    <row r="42" spans="2:22">
      <c r="D42" s="567"/>
      <c r="E42" s="568">
        <v>2</v>
      </c>
      <c r="F42" s="567" t="s">
        <v>1561</v>
      </c>
      <c r="G42" s="438" t="s">
        <v>151</v>
      </c>
      <c r="H42" s="562" t="s">
        <v>2008</v>
      </c>
      <c r="I42" s="562" t="s">
        <v>2117</v>
      </c>
      <c r="J42" s="465">
        <v>15332405</v>
      </c>
      <c r="K42" s="438" t="s">
        <v>1187</v>
      </c>
      <c r="L42" s="574">
        <v>21446</v>
      </c>
      <c r="M42" s="563">
        <f t="shared" ca="1" si="0"/>
        <v>67</v>
      </c>
      <c r="N42" s="438"/>
      <c r="O42" s="465">
        <v>3242615739</v>
      </c>
      <c r="P42" s="465" t="s">
        <v>2116</v>
      </c>
      <c r="Q42" s="564"/>
      <c r="R42" s="203" t="s">
        <v>164</v>
      </c>
      <c r="S42" s="203" t="s">
        <v>461</v>
      </c>
      <c r="T42" s="574">
        <v>45905</v>
      </c>
      <c r="U42" s="565" t="s">
        <v>160</v>
      </c>
      <c r="V42" s="144" t="s">
        <v>210</v>
      </c>
    </row>
    <row r="43" spans="2:22">
      <c r="D43" s="567"/>
      <c r="E43" s="567">
        <v>2</v>
      </c>
      <c r="F43" s="567" t="s">
        <v>1561</v>
      </c>
      <c r="G43" s="438" t="s">
        <v>151</v>
      </c>
      <c r="H43" s="562" t="s">
        <v>2008</v>
      </c>
      <c r="I43" s="562" t="s">
        <v>2115</v>
      </c>
      <c r="J43" s="465">
        <v>43816639</v>
      </c>
      <c r="K43" s="438" t="s">
        <v>1191</v>
      </c>
      <c r="L43" s="574">
        <v>27252</v>
      </c>
      <c r="M43" s="439">
        <f t="shared" ca="1" si="0"/>
        <v>51</v>
      </c>
      <c r="N43" s="438"/>
      <c r="O43" s="465">
        <v>3042042978</v>
      </c>
      <c r="P43" s="465" t="s">
        <v>2114</v>
      </c>
      <c r="Q43" s="438" t="s">
        <v>1602</v>
      </c>
      <c r="R43" s="203" t="s">
        <v>876</v>
      </c>
      <c r="S43" s="203" t="s">
        <v>663</v>
      </c>
      <c r="T43" s="574">
        <v>45905</v>
      </c>
      <c r="U43" s="565" t="s">
        <v>160</v>
      </c>
      <c r="V43" s="144" t="s">
        <v>210</v>
      </c>
    </row>
    <row r="44" spans="2:22">
      <c r="D44" s="567"/>
      <c r="E44" s="568">
        <v>2</v>
      </c>
      <c r="F44" s="567" t="s">
        <v>1561</v>
      </c>
      <c r="G44" s="438" t="s">
        <v>151</v>
      </c>
      <c r="H44" s="562" t="s">
        <v>2008</v>
      </c>
      <c r="I44" s="562" t="s">
        <v>2113</v>
      </c>
      <c r="J44" s="465">
        <v>70505151</v>
      </c>
      <c r="K44" s="438" t="s">
        <v>1187</v>
      </c>
      <c r="L44" s="574">
        <v>20654</v>
      </c>
      <c r="M44" s="563">
        <f t="shared" ca="1" si="0"/>
        <v>69</v>
      </c>
      <c r="N44" s="438"/>
      <c r="O44" s="465">
        <v>3193542846</v>
      </c>
      <c r="P44" s="465" t="s">
        <v>2112</v>
      </c>
      <c r="Q44" s="564" t="s">
        <v>1602</v>
      </c>
      <c r="R44" s="203" t="s">
        <v>876</v>
      </c>
      <c r="S44" s="203" t="s">
        <v>663</v>
      </c>
      <c r="T44" s="574">
        <v>45905</v>
      </c>
      <c r="U44" s="565" t="s">
        <v>160</v>
      </c>
      <c r="V44" s="144" t="s">
        <v>210</v>
      </c>
    </row>
    <row r="45" spans="2:22">
      <c r="D45" s="753" t="s">
        <v>2290</v>
      </c>
      <c r="E45" s="762">
        <v>2</v>
      </c>
      <c r="F45" s="762" t="s">
        <v>1561</v>
      </c>
      <c r="G45" s="763" t="s">
        <v>151</v>
      </c>
      <c r="H45" s="31" t="s">
        <v>2100</v>
      </c>
      <c r="I45" s="31" t="s">
        <v>2102</v>
      </c>
      <c r="J45" s="770">
        <v>43678278</v>
      </c>
      <c r="K45" s="763" t="s">
        <v>1191</v>
      </c>
      <c r="L45" s="772">
        <v>25537</v>
      </c>
      <c r="M45" s="766">
        <f t="shared" ca="1" si="0"/>
        <v>56</v>
      </c>
      <c r="N45" s="763"/>
      <c r="O45" s="770">
        <v>3242291172</v>
      </c>
      <c r="P45" s="770" t="s">
        <v>2101</v>
      </c>
      <c r="Q45" s="763" t="s">
        <v>1605</v>
      </c>
      <c r="R45" s="754" t="s">
        <v>891</v>
      </c>
      <c r="S45" s="754" t="s">
        <v>663</v>
      </c>
      <c r="T45" s="772">
        <v>45889</v>
      </c>
      <c r="U45" s="768" t="s">
        <v>166</v>
      </c>
      <c r="V45" s="761" t="s">
        <v>210</v>
      </c>
    </row>
    <row r="46" spans="2:22">
      <c r="D46" s="576"/>
      <c r="E46" s="577">
        <v>2</v>
      </c>
      <c r="F46" s="576" t="s">
        <v>1561</v>
      </c>
      <c r="G46" s="440" t="s">
        <v>151</v>
      </c>
      <c r="H46" s="554" t="s">
        <v>2100</v>
      </c>
      <c r="I46" s="554" t="s">
        <v>2111</v>
      </c>
      <c r="J46" s="466">
        <v>93363467</v>
      </c>
      <c r="K46" s="440" t="s">
        <v>1187</v>
      </c>
      <c r="L46" s="580">
        <v>23801</v>
      </c>
      <c r="M46" s="578">
        <f t="shared" ca="1" si="0"/>
        <v>61</v>
      </c>
      <c r="N46" s="440"/>
      <c r="O46" s="466">
        <v>3044545898</v>
      </c>
      <c r="P46" s="466"/>
      <c r="Q46" s="440" t="s">
        <v>1604</v>
      </c>
      <c r="R46" s="204" t="s">
        <v>876</v>
      </c>
      <c r="S46" s="204" t="s">
        <v>1898</v>
      </c>
      <c r="T46" s="580">
        <v>45889</v>
      </c>
      <c r="U46" s="579" t="s">
        <v>160</v>
      </c>
      <c r="V46" s="144" t="s">
        <v>210</v>
      </c>
    </row>
    <row r="47" spans="2:22">
      <c r="D47" s="576"/>
      <c r="E47" s="576">
        <v>2</v>
      </c>
      <c r="F47" s="576" t="s">
        <v>1561</v>
      </c>
      <c r="G47" s="440" t="s">
        <v>151</v>
      </c>
      <c r="H47" s="554" t="s">
        <v>2100</v>
      </c>
      <c r="I47" s="554" t="s">
        <v>2109</v>
      </c>
      <c r="J47" s="466">
        <v>8279868</v>
      </c>
      <c r="K47" s="440" t="s">
        <v>1187</v>
      </c>
      <c r="L47" s="558">
        <v>23057</v>
      </c>
      <c r="M47" s="441">
        <f t="shared" ca="1" si="0"/>
        <v>63</v>
      </c>
      <c r="N47" s="440"/>
      <c r="O47" s="466"/>
      <c r="P47" s="466"/>
      <c r="Q47" s="440" t="s">
        <v>1605</v>
      </c>
      <c r="R47" s="204" t="s">
        <v>876</v>
      </c>
      <c r="S47" s="204" t="s">
        <v>230</v>
      </c>
      <c r="T47" s="580">
        <v>45889</v>
      </c>
      <c r="U47" s="579" t="s">
        <v>160</v>
      </c>
      <c r="V47" s="144" t="s">
        <v>210</v>
      </c>
    </row>
    <row r="48" spans="2:22">
      <c r="D48" s="576"/>
      <c r="E48" s="577">
        <v>2</v>
      </c>
      <c r="F48" s="576" t="s">
        <v>1561</v>
      </c>
      <c r="G48" s="440" t="s">
        <v>151</v>
      </c>
      <c r="H48" s="554" t="s">
        <v>2100</v>
      </c>
      <c r="I48" s="554" t="s">
        <v>2108</v>
      </c>
      <c r="J48" s="466">
        <v>43521201</v>
      </c>
      <c r="K48" s="440" t="s">
        <v>1187</v>
      </c>
      <c r="L48" s="580">
        <v>28412</v>
      </c>
      <c r="M48" s="578">
        <f t="shared" ca="1" si="0"/>
        <v>48</v>
      </c>
      <c r="N48" s="440"/>
      <c r="O48" s="466">
        <v>3216746193</v>
      </c>
      <c r="P48" s="466" t="s">
        <v>2107</v>
      </c>
      <c r="Q48" s="440" t="s">
        <v>1605</v>
      </c>
      <c r="R48" s="204" t="s">
        <v>891</v>
      </c>
      <c r="S48" s="204" t="s">
        <v>461</v>
      </c>
      <c r="T48" s="580">
        <v>45889</v>
      </c>
      <c r="U48" s="579" t="s">
        <v>160</v>
      </c>
      <c r="V48" s="144" t="s">
        <v>210</v>
      </c>
    </row>
    <row r="49" spans="4:22">
      <c r="D49" s="576"/>
      <c r="E49" s="576">
        <v>2</v>
      </c>
      <c r="F49" s="576" t="s">
        <v>1561</v>
      </c>
      <c r="G49" s="440" t="s">
        <v>151</v>
      </c>
      <c r="H49" s="554" t="s">
        <v>2100</v>
      </c>
      <c r="I49" s="554" t="s">
        <v>2106</v>
      </c>
      <c r="J49" s="466">
        <v>42877186</v>
      </c>
      <c r="K49" s="440" t="s">
        <v>1191</v>
      </c>
      <c r="L49" s="580">
        <v>21448</v>
      </c>
      <c r="M49" s="441">
        <f t="shared" ca="1" si="0"/>
        <v>67</v>
      </c>
      <c r="N49" s="440"/>
      <c r="O49" s="466">
        <v>3207439344</v>
      </c>
      <c r="P49" s="466" t="s">
        <v>2105</v>
      </c>
      <c r="Q49" s="440" t="s">
        <v>1605</v>
      </c>
      <c r="R49" s="204" t="s">
        <v>891</v>
      </c>
      <c r="S49" s="204" t="s">
        <v>230</v>
      </c>
      <c r="T49" s="580">
        <v>45889</v>
      </c>
      <c r="U49" s="579" t="s">
        <v>160</v>
      </c>
      <c r="V49" s="144" t="s">
        <v>210</v>
      </c>
    </row>
    <row r="50" spans="4:22">
      <c r="D50" s="576"/>
      <c r="E50" s="577">
        <v>2</v>
      </c>
      <c r="F50" s="576" t="s">
        <v>1561</v>
      </c>
      <c r="G50" s="440" t="s">
        <v>151</v>
      </c>
      <c r="H50" s="554" t="s">
        <v>2100</v>
      </c>
      <c r="I50" s="554" t="s">
        <v>2104</v>
      </c>
      <c r="J50" s="466">
        <v>42935868</v>
      </c>
      <c r="K50" s="440" t="s">
        <v>1191</v>
      </c>
      <c r="L50" s="558">
        <v>22292</v>
      </c>
      <c r="M50" s="578">
        <f t="shared" ca="1" si="0"/>
        <v>65</v>
      </c>
      <c r="N50" s="440"/>
      <c r="O50" s="466">
        <v>3225034375</v>
      </c>
      <c r="P50" s="466" t="s">
        <v>2103</v>
      </c>
      <c r="Q50" s="440" t="s">
        <v>1603</v>
      </c>
      <c r="R50" s="204" t="s">
        <v>333</v>
      </c>
      <c r="S50" s="204" t="s">
        <v>230</v>
      </c>
      <c r="T50" s="580">
        <v>45889</v>
      </c>
      <c r="U50" s="579" t="s">
        <v>160</v>
      </c>
      <c r="V50" s="144" t="s">
        <v>210</v>
      </c>
    </row>
    <row r="51" spans="4:22">
      <c r="D51" s="753" t="s">
        <v>2290</v>
      </c>
      <c r="E51" s="762">
        <v>2</v>
      </c>
      <c r="F51" s="762" t="s">
        <v>1561</v>
      </c>
      <c r="G51" s="763" t="s">
        <v>151</v>
      </c>
      <c r="H51" s="31" t="s">
        <v>2090</v>
      </c>
      <c r="I51" s="31" t="s">
        <v>2095</v>
      </c>
      <c r="J51" s="770">
        <v>43913160</v>
      </c>
      <c r="K51" s="763" t="s">
        <v>1191</v>
      </c>
      <c r="L51" s="771">
        <v>29716</v>
      </c>
      <c r="M51" s="766">
        <f t="shared" ca="1" si="0"/>
        <v>45</v>
      </c>
      <c r="N51" s="763"/>
      <c r="O51" s="770">
        <v>3002663407</v>
      </c>
      <c r="P51" s="770" t="s">
        <v>2094</v>
      </c>
      <c r="Q51" s="763" t="s">
        <v>1606</v>
      </c>
      <c r="R51" s="754" t="s">
        <v>164</v>
      </c>
      <c r="S51" s="754" t="s">
        <v>193</v>
      </c>
      <c r="T51" s="771">
        <v>45890</v>
      </c>
      <c r="U51" s="768" t="s">
        <v>166</v>
      </c>
      <c r="V51" s="761" t="s">
        <v>210</v>
      </c>
    </row>
    <row r="52" spans="4:22">
      <c r="D52" s="582"/>
      <c r="E52" s="585">
        <v>2</v>
      </c>
      <c r="F52" s="582" t="s">
        <v>1561</v>
      </c>
      <c r="G52" s="442" t="s">
        <v>151</v>
      </c>
      <c r="H52" s="559" t="s">
        <v>2090</v>
      </c>
      <c r="I52" s="559" t="s">
        <v>2099</v>
      </c>
      <c r="J52" s="481">
        <v>71767233</v>
      </c>
      <c r="K52" s="442" t="s">
        <v>1187</v>
      </c>
      <c r="L52" s="583">
        <v>28030</v>
      </c>
      <c r="M52" s="586">
        <f t="shared" ca="1" si="0"/>
        <v>49</v>
      </c>
      <c r="N52" s="442"/>
      <c r="O52" s="481">
        <v>3117787003</v>
      </c>
      <c r="P52" s="481"/>
      <c r="Q52" s="442" t="s">
        <v>1606</v>
      </c>
      <c r="R52" s="188" t="s">
        <v>164</v>
      </c>
      <c r="S52" s="188" t="s">
        <v>230</v>
      </c>
      <c r="T52" s="583">
        <v>45890</v>
      </c>
      <c r="U52" s="587" t="s">
        <v>160</v>
      </c>
      <c r="V52" s="144" t="s">
        <v>210</v>
      </c>
    </row>
    <row r="53" spans="4:22">
      <c r="D53" s="582"/>
      <c r="E53" s="582">
        <v>2</v>
      </c>
      <c r="F53" s="582" t="s">
        <v>1561</v>
      </c>
      <c r="G53" s="442" t="s">
        <v>151</v>
      </c>
      <c r="H53" s="559" t="s">
        <v>2090</v>
      </c>
      <c r="I53" s="559" t="s">
        <v>2098</v>
      </c>
      <c r="J53" s="481">
        <v>8298240</v>
      </c>
      <c r="K53" s="442" t="s">
        <v>1187</v>
      </c>
      <c r="L53" s="583">
        <v>18037</v>
      </c>
      <c r="M53" s="443">
        <f t="shared" ca="1" si="0"/>
        <v>77</v>
      </c>
      <c r="N53" s="442"/>
      <c r="O53" s="481">
        <v>3176866836</v>
      </c>
      <c r="P53" s="481" t="s">
        <v>2097</v>
      </c>
      <c r="Q53" s="442" t="s">
        <v>1606</v>
      </c>
      <c r="R53" s="188" t="s">
        <v>164</v>
      </c>
      <c r="S53" s="188" t="s">
        <v>230</v>
      </c>
      <c r="T53" s="583">
        <v>45890</v>
      </c>
      <c r="U53" s="587" t="s">
        <v>160</v>
      </c>
      <c r="V53" s="144" t="s">
        <v>210</v>
      </c>
    </row>
    <row r="54" spans="4:22">
      <c r="D54" s="582"/>
      <c r="E54" s="585">
        <v>2</v>
      </c>
      <c r="F54" s="582" t="s">
        <v>1561</v>
      </c>
      <c r="G54" s="442" t="s">
        <v>151</v>
      </c>
      <c r="H54" s="559" t="s">
        <v>2090</v>
      </c>
      <c r="I54" s="559" t="s">
        <v>2096</v>
      </c>
      <c r="J54" s="481">
        <v>43818520</v>
      </c>
      <c r="K54" s="442" t="s">
        <v>1191</v>
      </c>
      <c r="L54" s="583">
        <v>26681</v>
      </c>
      <c r="M54" s="586">
        <f t="shared" ca="1" si="0"/>
        <v>53</v>
      </c>
      <c r="N54" s="442"/>
      <c r="O54" s="481">
        <v>3104151437</v>
      </c>
      <c r="P54" s="481"/>
      <c r="Q54" s="442" t="s">
        <v>1606</v>
      </c>
      <c r="R54" s="188" t="s">
        <v>164</v>
      </c>
      <c r="S54" s="188" t="s">
        <v>230</v>
      </c>
      <c r="T54" s="583">
        <v>45890</v>
      </c>
      <c r="U54" s="587" t="s">
        <v>160</v>
      </c>
      <c r="V54" s="144" t="s">
        <v>210</v>
      </c>
    </row>
    <row r="55" spans="4:22">
      <c r="D55" s="582"/>
      <c r="E55" s="582">
        <v>2</v>
      </c>
      <c r="F55" s="582" t="s">
        <v>1561</v>
      </c>
      <c r="G55" s="442" t="s">
        <v>151</v>
      </c>
      <c r="H55" s="559" t="s">
        <v>2090</v>
      </c>
      <c r="I55" s="559" t="s">
        <v>2093</v>
      </c>
      <c r="J55" s="481">
        <v>98495907</v>
      </c>
      <c r="K55" s="442" t="s">
        <v>1187</v>
      </c>
      <c r="L55" s="584">
        <v>25059</v>
      </c>
      <c r="M55" s="443">
        <f t="shared" ca="1" si="0"/>
        <v>57</v>
      </c>
      <c r="N55" s="442"/>
      <c r="O55" s="481">
        <v>3242941370</v>
      </c>
      <c r="P55" s="481"/>
      <c r="Q55" s="442" t="s">
        <v>1606</v>
      </c>
      <c r="R55" s="188" t="s">
        <v>164</v>
      </c>
      <c r="S55" s="188" t="s">
        <v>230</v>
      </c>
      <c r="T55" s="583">
        <v>45890</v>
      </c>
      <c r="U55" s="587" t="s">
        <v>160</v>
      </c>
      <c r="V55" s="144" t="s">
        <v>210</v>
      </c>
    </row>
    <row r="56" spans="4:22">
      <c r="D56" s="582"/>
      <c r="E56" s="585">
        <v>2</v>
      </c>
      <c r="F56" s="582" t="s">
        <v>1561</v>
      </c>
      <c r="G56" s="442" t="s">
        <v>151</v>
      </c>
      <c r="H56" s="559" t="s">
        <v>2090</v>
      </c>
      <c r="I56" s="559" t="s">
        <v>2092</v>
      </c>
      <c r="J56" s="481">
        <v>1001144799</v>
      </c>
      <c r="K56" s="442" t="s">
        <v>1187</v>
      </c>
      <c r="L56" s="584">
        <v>36019</v>
      </c>
      <c r="M56" s="586">
        <f t="shared" ca="1" si="0"/>
        <v>27</v>
      </c>
      <c r="N56" s="442"/>
      <c r="O56" s="481">
        <v>3153777106</v>
      </c>
      <c r="P56" s="481" t="s">
        <v>2091</v>
      </c>
      <c r="Q56" s="442" t="s">
        <v>1606</v>
      </c>
      <c r="R56" s="188" t="s">
        <v>164</v>
      </c>
      <c r="S56" s="188" t="s">
        <v>663</v>
      </c>
      <c r="T56" s="583">
        <v>45910</v>
      </c>
      <c r="U56" s="587" t="s">
        <v>160</v>
      </c>
      <c r="V56" s="144" t="s">
        <v>210</v>
      </c>
    </row>
    <row r="57" spans="4:22">
      <c r="D57" s="753" t="s">
        <v>2290</v>
      </c>
      <c r="E57" s="762">
        <v>2</v>
      </c>
      <c r="F57" s="762" t="s">
        <v>1561</v>
      </c>
      <c r="G57" s="763" t="s">
        <v>151</v>
      </c>
      <c r="H57" s="31" t="s">
        <v>2078</v>
      </c>
      <c r="I57" s="31" t="s">
        <v>2080</v>
      </c>
      <c r="J57" s="770">
        <v>1000886912</v>
      </c>
      <c r="K57" s="763" t="s">
        <v>1191</v>
      </c>
      <c r="L57" s="771">
        <v>37773</v>
      </c>
      <c r="M57" s="766">
        <f t="shared" ca="1" si="0"/>
        <v>22</v>
      </c>
      <c r="N57" s="763"/>
      <c r="O57" s="770">
        <v>3006965416</v>
      </c>
      <c r="P57" s="770" t="s">
        <v>2079</v>
      </c>
      <c r="Q57" s="774" t="s">
        <v>1607</v>
      </c>
      <c r="R57" s="754" t="s">
        <v>192</v>
      </c>
      <c r="S57" s="754" t="s">
        <v>663</v>
      </c>
      <c r="T57" s="771">
        <v>45898</v>
      </c>
      <c r="U57" s="768" t="s">
        <v>166</v>
      </c>
      <c r="V57" s="761" t="s">
        <v>210</v>
      </c>
    </row>
    <row r="58" spans="4:22">
      <c r="D58" s="588"/>
      <c r="E58" s="590">
        <v>2</v>
      </c>
      <c r="F58" s="588" t="s">
        <v>1561</v>
      </c>
      <c r="G58" s="136" t="s">
        <v>151</v>
      </c>
      <c r="H58" s="560" t="s">
        <v>2078</v>
      </c>
      <c r="I58" s="560" t="s">
        <v>2089</v>
      </c>
      <c r="J58" s="561">
        <v>43095826</v>
      </c>
      <c r="K58" s="136" t="s">
        <v>1191</v>
      </c>
      <c r="L58" s="594">
        <v>23515</v>
      </c>
      <c r="M58" s="591">
        <f t="shared" ca="1" si="0"/>
        <v>62</v>
      </c>
      <c r="N58" s="136"/>
      <c r="O58" s="561">
        <v>3114533914</v>
      </c>
      <c r="P58" s="561"/>
      <c r="Q58" s="592" t="s">
        <v>1607</v>
      </c>
      <c r="R58" s="202" t="s">
        <v>164</v>
      </c>
      <c r="S58" s="202" t="s">
        <v>663</v>
      </c>
      <c r="T58" s="594">
        <v>45898</v>
      </c>
      <c r="U58" s="593" t="s">
        <v>160</v>
      </c>
      <c r="V58" s="144" t="s">
        <v>210</v>
      </c>
    </row>
    <row r="59" spans="4:22">
      <c r="D59" s="588"/>
      <c r="E59" s="588">
        <v>2</v>
      </c>
      <c r="F59" s="588" t="s">
        <v>1561</v>
      </c>
      <c r="G59" s="136" t="s">
        <v>151</v>
      </c>
      <c r="H59" s="560" t="s">
        <v>2078</v>
      </c>
      <c r="I59" s="560" t="s">
        <v>2088</v>
      </c>
      <c r="J59" s="561">
        <v>70094002</v>
      </c>
      <c r="K59" s="136" t="s">
        <v>1187</v>
      </c>
      <c r="L59" s="589">
        <v>21149</v>
      </c>
      <c r="M59" s="482">
        <f t="shared" ca="1" si="0"/>
        <v>68</v>
      </c>
      <c r="N59" s="136"/>
      <c r="O59" s="561">
        <v>3012128315</v>
      </c>
      <c r="P59" s="561" t="s">
        <v>2087</v>
      </c>
      <c r="Q59" s="592" t="s">
        <v>1607</v>
      </c>
      <c r="R59" s="202" t="s">
        <v>164</v>
      </c>
      <c r="S59" s="202" t="s">
        <v>230</v>
      </c>
      <c r="T59" s="594">
        <v>45898</v>
      </c>
      <c r="U59" s="593" t="s">
        <v>160</v>
      </c>
      <c r="V59" s="144" t="s">
        <v>210</v>
      </c>
    </row>
    <row r="60" spans="4:22">
      <c r="D60" s="588"/>
      <c r="E60" s="590">
        <v>2</v>
      </c>
      <c r="F60" s="588" t="s">
        <v>1561</v>
      </c>
      <c r="G60" s="136" t="s">
        <v>151</v>
      </c>
      <c r="H60" s="560" t="s">
        <v>2078</v>
      </c>
      <c r="I60" s="560" t="s">
        <v>2086</v>
      </c>
      <c r="J60" s="561">
        <v>71740822</v>
      </c>
      <c r="K60" s="136" t="s">
        <v>1187</v>
      </c>
      <c r="L60" s="594">
        <v>26925</v>
      </c>
      <c r="M60" s="591">
        <f t="shared" ca="1" si="0"/>
        <v>52</v>
      </c>
      <c r="N60" s="136"/>
      <c r="O60" s="561">
        <v>3108933334</v>
      </c>
      <c r="P60" s="561" t="s">
        <v>2085</v>
      </c>
      <c r="Q60" s="592" t="s">
        <v>1607</v>
      </c>
      <c r="R60" s="202" t="s">
        <v>164</v>
      </c>
      <c r="S60" s="202" t="s">
        <v>663</v>
      </c>
      <c r="T60" s="594">
        <v>45898</v>
      </c>
      <c r="U60" s="593" t="s">
        <v>160</v>
      </c>
      <c r="V60" s="144" t="s">
        <v>210</v>
      </c>
    </row>
    <row r="61" spans="4:22">
      <c r="D61" s="588"/>
      <c r="E61" s="588">
        <v>2</v>
      </c>
      <c r="F61" s="588" t="s">
        <v>1561</v>
      </c>
      <c r="G61" s="136" t="s">
        <v>151</v>
      </c>
      <c r="H61" s="560" t="s">
        <v>2078</v>
      </c>
      <c r="I61" s="560" t="s">
        <v>2084</v>
      </c>
      <c r="J61" s="561">
        <v>1025766562</v>
      </c>
      <c r="K61" s="136" t="s">
        <v>1187</v>
      </c>
      <c r="L61" s="589">
        <v>40087</v>
      </c>
      <c r="M61" s="482">
        <f t="shared" ca="1" si="0"/>
        <v>16</v>
      </c>
      <c r="N61" s="136"/>
      <c r="O61" s="561">
        <v>3013919045</v>
      </c>
      <c r="P61" s="561" t="s">
        <v>2083</v>
      </c>
      <c r="Q61" s="592" t="s">
        <v>1607</v>
      </c>
      <c r="R61" s="202" t="s">
        <v>192</v>
      </c>
      <c r="S61" s="202" t="s">
        <v>230</v>
      </c>
      <c r="T61" s="594">
        <v>45898</v>
      </c>
      <c r="U61" s="593" t="s">
        <v>160</v>
      </c>
      <c r="V61" s="144" t="s">
        <v>210</v>
      </c>
    </row>
    <row r="62" spans="4:22">
      <c r="D62" s="588"/>
      <c r="E62" s="590">
        <v>2</v>
      </c>
      <c r="F62" s="588" t="s">
        <v>1561</v>
      </c>
      <c r="G62" s="136" t="s">
        <v>151</v>
      </c>
      <c r="H62" s="560" t="s">
        <v>2078</v>
      </c>
      <c r="I62" s="560" t="s">
        <v>2082</v>
      </c>
      <c r="J62" s="561">
        <v>44000505</v>
      </c>
      <c r="K62" s="136" t="s">
        <v>1191</v>
      </c>
      <c r="L62" s="589">
        <v>30982</v>
      </c>
      <c r="M62" s="591">
        <f t="shared" ca="1" si="0"/>
        <v>41</v>
      </c>
      <c r="N62" s="136"/>
      <c r="O62" s="561">
        <v>3145505160</v>
      </c>
      <c r="P62" s="561" t="s">
        <v>2081</v>
      </c>
      <c r="Q62" s="592" t="s">
        <v>1607</v>
      </c>
      <c r="R62" s="202" t="s">
        <v>333</v>
      </c>
      <c r="S62" s="202" t="s">
        <v>461</v>
      </c>
      <c r="T62" s="594">
        <v>45898</v>
      </c>
      <c r="U62" s="593" t="s">
        <v>160</v>
      </c>
      <c r="V62" s="144" t="s">
        <v>210</v>
      </c>
    </row>
    <row r="63" spans="4:22">
      <c r="D63" s="753" t="s">
        <v>2290</v>
      </c>
      <c r="E63" s="762">
        <v>2</v>
      </c>
      <c r="F63" s="762" t="s">
        <v>1561</v>
      </c>
      <c r="G63" s="763" t="s">
        <v>151</v>
      </c>
      <c r="H63" s="31" t="s">
        <v>2065</v>
      </c>
      <c r="I63" s="31" t="s">
        <v>2067</v>
      </c>
      <c r="J63" s="770">
        <v>71214368</v>
      </c>
      <c r="K63" s="763" t="s">
        <v>1187</v>
      </c>
      <c r="L63" s="771">
        <v>28763</v>
      </c>
      <c r="M63" s="766">
        <f t="shared" ca="1" si="0"/>
        <v>47</v>
      </c>
      <c r="N63" s="763"/>
      <c r="O63" s="770">
        <v>3244097812</v>
      </c>
      <c r="P63" s="770" t="s">
        <v>2066</v>
      </c>
      <c r="Q63" s="763" t="s">
        <v>1609</v>
      </c>
      <c r="R63" s="754" t="s">
        <v>164</v>
      </c>
      <c r="S63" s="754" t="s">
        <v>663</v>
      </c>
      <c r="T63" s="771">
        <v>45890</v>
      </c>
      <c r="U63" s="768" t="s">
        <v>166</v>
      </c>
      <c r="V63" s="761" t="s">
        <v>210</v>
      </c>
    </row>
    <row r="64" spans="4:22">
      <c r="D64" s="567"/>
      <c r="E64" s="568">
        <v>2</v>
      </c>
      <c r="F64" s="567" t="s">
        <v>1561</v>
      </c>
      <c r="G64" s="438" t="s">
        <v>151</v>
      </c>
      <c r="H64" s="562" t="s">
        <v>2065</v>
      </c>
      <c r="I64" s="562" t="s">
        <v>2077</v>
      </c>
      <c r="J64" s="465">
        <v>71666317</v>
      </c>
      <c r="K64" s="438" t="s">
        <v>1187</v>
      </c>
      <c r="L64" s="574">
        <v>23968</v>
      </c>
      <c r="M64" s="563">
        <f t="shared" ca="1" si="0"/>
        <v>60</v>
      </c>
      <c r="N64" s="438"/>
      <c r="O64" s="465">
        <v>3215940601</v>
      </c>
      <c r="P64" s="465" t="s">
        <v>2076</v>
      </c>
      <c r="Q64" s="564" t="s">
        <v>1609</v>
      </c>
      <c r="R64" s="203" t="s">
        <v>164</v>
      </c>
      <c r="S64" s="203" t="s">
        <v>230</v>
      </c>
      <c r="T64" s="574">
        <v>45890</v>
      </c>
      <c r="U64" s="565" t="s">
        <v>160</v>
      </c>
      <c r="V64" s="144" t="s">
        <v>210</v>
      </c>
    </row>
    <row r="65" spans="4:22">
      <c r="D65" s="567"/>
      <c r="E65" s="567">
        <v>2</v>
      </c>
      <c r="F65" s="567" t="s">
        <v>1561</v>
      </c>
      <c r="G65" s="438" t="s">
        <v>151</v>
      </c>
      <c r="H65" s="562" t="s">
        <v>2065</v>
      </c>
      <c r="I65" s="562" t="s">
        <v>2075</v>
      </c>
      <c r="J65" s="465">
        <v>43667805</v>
      </c>
      <c r="K65" s="438" t="s">
        <v>1191</v>
      </c>
      <c r="L65" s="574">
        <v>25052</v>
      </c>
      <c r="M65" s="439">
        <f t="shared" ca="1" si="0"/>
        <v>57</v>
      </c>
      <c r="N65" s="438"/>
      <c r="O65" s="465">
        <v>3213556442</v>
      </c>
      <c r="P65" s="465" t="s">
        <v>2074</v>
      </c>
      <c r="Q65" s="564" t="s">
        <v>1609</v>
      </c>
      <c r="R65" s="203" t="s">
        <v>1585</v>
      </c>
      <c r="S65" s="203" t="s">
        <v>663</v>
      </c>
      <c r="T65" s="574">
        <v>45890</v>
      </c>
      <c r="U65" s="565" t="s">
        <v>160</v>
      </c>
      <c r="V65" s="144" t="s">
        <v>210</v>
      </c>
    </row>
    <row r="66" spans="4:22">
      <c r="D66" s="567"/>
      <c r="E66" s="568">
        <v>2</v>
      </c>
      <c r="F66" s="567" t="s">
        <v>1561</v>
      </c>
      <c r="G66" s="438" t="s">
        <v>151</v>
      </c>
      <c r="H66" s="562" t="s">
        <v>2065</v>
      </c>
      <c r="I66" s="562" t="s">
        <v>2073</v>
      </c>
      <c r="J66" s="465">
        <v>50907272</v>
      </c>
      <c r="K66" s="438" t="s">
        <v>1191</v>
      </c>
      <c r="L66" s="574">
        <v>26887</v>
      </c>
      <c r="M66" s="563">
        <f t="shared" ca="1" si="0"/>
        <v>52</v>
      </c>
      <c r="N66" s="438"/>
      <c r="O66" s="465">
        <v>3184406439</v>
      </c>
      <c r="P66" s="465" t="s">
        <v>2072</v>
      </c>
      <c r="Q66" s="564" t="s">
        <v>1609</v>
      </c>
      <c r="R66" s="203" t="s">
        <v>164</v>
      </c>
      <c r="S66" s="203" t="s">
        <v>663</v>
      </c>
      <c r="T66" s="574">
        <v>45890</v>
      </c>
      <c r="U66" s="565" t="s">
        <v>160</v>
      </c>
      <c r="V66" s="144" t="s">
        <v>210</v>
      </c>
    </row>
    <row r="67" spans="4:22">
      <c r="D67" s="567"/>
      <c r="E67" s="567">
        <v>2</v>
      </c>
      <c r="F67" s="567" t="s">
        <v>1561</v>
      </c>
      <c r="G67" s="438" t="s">
        <v>151</v>
      </c>
      <c r="H67" s="562" t="s">
        <v>2065</v>
      </c>
      <c r="I67" s="562" t="s">
        <v>2071</v>
      </c>
      <c r="J67" s="465">
        <v>43834620</v>
      </c>
      <c r="K67" s="438" t="s">
        <v>1191</v>
      </c>
      <c r="L67" s="575">
        <v>28099</v>
      </c>
      <c r="M67" s="439">
        <f t="shared" ca="1" si="0"/>
        <v>49</v>
      </c>
      <c r="N67" s="438"/>
      <c r="O67" s="465">
        <v>3117788554</v>
      </c>
      <c r="P67" s="465" t="s">
        <v>2070</v>
      </c>
      <c r="Q67" s="564" t="s">
        <v>1609</v>
      </c>
      <c r="R67" s="203" t="s">
        <v>164</v>
      </c>
      <c r="S67" s="203" t="s">
        <v>663</v>
      </c>
      <c r="T67" s="574">
        <v>45890</v>
      </c>
      <c r="U67" s="565" t="s">
        <v>160</v>
      </c>
      <c r="V67" s="144" t="s">
        <v>210</v>
      </c>
    </row>
    <row r="68" spans="4:22">
      <c r="D68" s="567"/>
      <c r="E68" s="568">
        <v>2</v>
      </c>
      <c r="F68" s="567" t="s">
        <v>1561</v>
      </c>
      <c r="G68" s="438" t="s">
        <v>151</v>
      </c>
      <c r="H68" s="562" t="s">
        <v>2065</v>
      </c>
      <c r="I68" s="562" t="s">
        <v>2069</v>
      </c>
      <c r="J68" s="465">
        <v>71273626</v>
      </c>
      <c r="K68" s="438" t="s">
        <v>1187</v>
      </c>
      <c r="L68" s="574">
        <v>30083</v>
      </c>
      <c r="M68" s="563">
        <f t="shared" ca="1" si="0"/>
        <v>44</v>
      </c>
      <c r="N68" s="438"/>
      <c r="O68" s="465">
        <v>3224638499</v>
      </c>
      <c r="P68" s="465" t="s">
        <v>2068</v>
      </c>
      <c r="Q68" s="564" t="s">
        <v>1609</v>
      </c>
      <c r="R68" s="203" t="s">
        <v>164</v>
      </c>
      <c r="S68" s="203" t="s">
        <v>193</v>
      </c>
      <c r="T68" s="574">
        <v>45890</v>
      </c>
      <c r="U68" s="565" t="s">
        <v>160</v>
      </c>
      <c r="V68" s="144" t="s">
        <v>210</v>
      </c>
    </row>
    <row r="69" spans="4:22">
      <c r="D69" s="753" t="s">
        <v>2290</v>
      </c>
      <c r="E69" s="762">
        <v>2</v>
      </c>
      <c r="F69" s="762" t="s">
        <v>1561</v>
      </c>
      <c r="G69" s="763" t="s">
        <v>151</v>
      </c>
      <c r="H69" s="31" t="s">
        <v>2052</v>
      </c>
      <c r="I69" s="31" t="s">
        <v>2054</v>
      </c>
      <c r="J69" s="770">
        <v>42995012</v>
      </c>
      <c r="K69" s="763" t="s">
        <v>1191</v>
      </c>
      <c r="L69" s="771">
        <v>21643</v>
      </c>
      <c r="M69" s="766">
        <f t="shared" ref="M69:M98" ca="1" si="1">DATEDIF(L69,TODAY(),"Y")</f>
        <v>67</v>
      </c>
      <c r="N69" s="763"/>
      <c r="O69" s="770">
        <v>3002458751</v>
      </c>
      <c r="P69" s="770" t="s">
        <v>2053</v>
      </c>
      <c r="Q69" s="774" t="s">
        <v>1608</v>
      </c>
      <c r="R69" s="754" t="s">
        <v>164</v>
      </c>
      <c r="S69" s="754" t="s">
        <v>663</v>
      </c>
      <c r="T69" s="771">
        <v>45890</v>
      </c>
      <c r="U69" s="768" t="s">
        <v>166</v>
      </c>
      <c r="V69" s="761" t="s">
        <v>210</v>
      </c>
    </row>
    <row r="70" spans="4:22">
      <c r="D70" s="576"/>
      <c r="E70" s="577">
        <v>2</v>
      </c>
      <c r="F70" s="576" t="s">
        <v>1561</v>
      </c>
      <c r="G70" s="440" t="s">
        <v>151</v>
      </c>
      <c r="H70" s="554" t="s">
        <v>2052</v>
      </c>
      <c r="I70" s="554" t="s">
        <v>2064</v>
      </c>
      <c r="J70" s="466">
        <v>32510403</v>
      </c>
      <c r="K70" s="440" t="s">
        <v>1191</v>
      </c>
      <c r="L70" s="580">
        <v>25755</v>
      </c>
      <c r="M70" s="578">
        <f t="shared" ca="1" si="1"/>
        <v>55</v>
      </c>
      <c r="N70" s="440"/>
      <c r="O70" s="466">
        <v>3054182020</v>
      </c>
      <c r="P70" s="466" t="s">
        <v>2063</v>
      </c>
      <c r="Q70" s="581" t="s">
        <v>1610</v>
      </c>
      <c r="R70" s="204" t="s">
        <v>1585</v>
      </c>
      <c r="S70" s="204" t="s">
        <v>230</v>
      </c>
      <c r="T70" s="558">
        <v>45895</v>
      </c>
      <c r="U70" s="579" t="s">
        <v>160</v>
      </c>
      <c r="V70" s="144" t="s">
        <v>210</v>
      </c>
    </row>
    <row r="71" spans="4:22">
      <c r="D71" s="576"/>
      <c r="E71" s="576">
        <v>2</v>
      </c>
      <c r="F71" s="576" t="s">
        <v>1561</v>
      </c>
      <c r="G71" s="440" t="s">
        <v>151</v>
      </c>
      <c r="H71" s="554" t="s">
        <v>2052</v>
      </c>
      <c r="I71" s="554" t="s">
        <v>2062</v>
      </c>
      <c r="J71" s="466">
        <v>43184156</v>
      </c>
      <c r="K71" s="440" t="s">
        <v>1191</v>
      </c>
      <c r="L71" s="558">
        <v>30572</v>
      </c>
      <c r="M71" s="441">
        <f t="shared" ca="1" si="1"/>
        <v>42</v>
      </c>
      <c r="N71" s="440"/>
      <c r="O71" s="466">
        <v>3244631923</v>
      </c>
      <c r="P71" s="466" t="s">
        <v>2061</v>
      </c>
      <c r="Q71" s="581" t="s">
        <v>1608</v>
      </c>
      <c r="R71" s="204" t="s">
        <v>164</v>
      </c>
      <c r="S71" s="204" t="s">
        <v>663</v>
      </c>
      <c r="T71" s="558">
        <v>45890</v>
      </c>
      <c r="U71" s="579" t="s">
        <v>160</v>
      </c>
      <c r="V71" s="144" t="s">
        <v>210</v>
      </c>
    </row>
    <row r="72" spans="4:22">
      <c r="D72" s="576"/>
      <c r="E72" s="577">
        <v>2</v>
      </c>
      <c r="F72" s="576" t="s">
        <v>1561</v>
      </c>
      <c r="G72" s="440" t="s">
        <v>151</v>
      </c>
      <c r="H72" s="554" t="s">
        <v>2052</v>
      </c>
      <c r="I72" s="554" t="s">
        <v>2060</v>
      </c>
      <c r="J72" s="466">
        <v>32091146</v>
      </c>
      <c r="K72" s="440" t="s">
        <v>1191</v>
      </c>
      <c r="L72" s="558">
        <v>28985</v>
      </c>
      <c r="M72" s="578">
        <f t="shared" ca="1" si="1"/>
        <v>47</v>
      </c>
      <c r="N72" s="440"/>
      <c r="O72" s="466">
        <v>3117104490</v>
      </c>
      <c r="P72" s="466" t="s">
        <v>2059</v>
      </c>
      <c r="Q72" s="581" t="s">
        <v>1608</v>
      </c>
      <c r="R72" s="204" t="s">
        <v>891</v>
      </c>
      <c r="S72" s="204" t="s">
        <v>663</v>
      </c>
      <c r="T72" s="558">
        <v>45890</v>
      </c>
      <c r="U72" s="579" t="s">
        <v>160</v>
      </c>
      <c r="V72" s="144" t="s">
        <v>210</v>
      </c>
    </row>
    <row r="73" spans="4:22">
      <c r="D73" s="576"/>
      <c r="E73" s="576">
        <v>2</v>
      </c>
      <c r="F73" s="576" t="s">
        <v>1561</v>
      </c>
      <c r="G73" s="440" t="s">
        <v>151</v>
      </c>
      <c r="H73" s="554" t="s">
        <v>2052</v>
      </c>
      <c r="I73" s="554" t="s">
        <v>2058</v>
      </c>
      <c r="J73" s="466">
        <v>1020396942</v>
      </c>
      <c r="K73" s="440" t="s">
        <v>1191</v>
      </c>
      <c r="L73" s="580">
        <v>35045</v>
      </c>
      <c r="M73" s="441">
        <f t="shared" ca="1" si="1"/>
        <v>30</v>
      </c>
      <c r="N73" s="440"/>
      <c r="O73" s="466">
        <v>3233861195</v>
      </c>
      <c r="P73" s="466" t="s">
        <v>2057</v>
      </c>
      <c r="Q73" s="581" t="s">
        <v>1608</v>
      </c>
      <c r="R73" s="204" t="s">
        <v>164</v>
      </c>
      <c r="S73" s="204" t="s">
        <v>230</v>
      </c>
      <c r="T73" s="558">
        <v>45890</v>
      </c>
      <c r="U73" s="579" t="s">
        <v>160</v>
      </c>
      <c r="V73" s="144" t="s">
        <v>210</v>
      </c>
    </row>
    <row r="74" spans="4:22">
      <c r="D74" s="576"/>
      <c r="E74" s="577">
        <v>2</v>
      </c>
      <c r="F74" s="356" t="s">
        <v>1561</v>
      </c>
      <c r="G74" s="440" t="s">
        <v>151</v>
      </c>
      <c r="H74" s="554" t="s">
        <v>2052</v>
      </c>
      <c r="I74" s="554" t="s">
        <v>2056</v>
      </c>
      <c r="J74" s="466">
        <v>1036660745</v>
      </c>
      <c r="K74" s="440" t="s">
        <v>1187</v>
      </c>
      <c r="L74" s="558">
        <v>34814</v>
      </c>
      <c r="M74" s="578">
        <f t="shared" ca="1" si="1"/>
        <v>31</v>
      </c>
      <c r="N74" s="440"/>
      <c r="O74" s="466">
        <v>3234171535</v>
      </c>
      <c r="P74" s="466" t="s">
        <v>2055</v>
      </c>
      <c r="Q74" s="581" t="s">
        <v>1608</v>
      </c>
      <c r="R74" s="204" t="s">
        <v>164</v>
      </c>
      <c r="S74" s="204" t="s">
        <v>663</v>
      </c>
      <c r="T74" s="558">
        <v>45890</v>
      </c>
      <c r="U74" s="579" t="s">
        <v>160</v>
      </c>
      <c r="V74" s="144" t="s">
        <v>210</v>
      </c>
    </row>
    <row r="75" spans="4:22">
      <c r="D75" s="753" t="s">
        <v>2290</v>
      </c>
      <c r="E75" s="762">
        <v>2</v>
      </c>
      <c r="F75" s="753" t="s">
        <v>1561</v>
      </c>
      <c r="G75" s="763" t="s">
        <v>151</v>
      </c>
      <c r="H75" s="764" t="s">
        <v>2041</v>
      </c>
      <c r="I75" s="764" t="s">
        <v>2049</v>
      </c>
      <c r="J75" s="775">
        <v>32527933</v>
      </c>
      <c r="K75" s="763" t="s">
        <v>1191</v>
      </c>
      <c r="L75" s="776">
        <v>19700</v>
      </c>
      <c r="M75" s="777">
        <f t="shared" ca="1" si="1"/>
        <v>72</v>
      </c>
      <c r="N75" s="763"/>
      <c r="O75" s="775">
        <v>3174224367</v>
      </c>
      <c r="P75" s="775" t="s">
        <v>2048</v>
      </c>
      <c r="Q75" s="763" t="s">
        <v>1561</v>
      </c>
      <c r="R75" s="754" t="s">
        <v>891</v>
      </c>
      <c r="S75" s="754" t="s">
        <v>193</v>
      </c>
      <c r="T75" s="778">
        <v>45891</v>
      </c>
      <c r="U75" s="779" t="s">
        <v>166</v>
      </c>
      <c r="V75" s="761" t="s">
        <v>210</v>
      </c>
    </row>
    <row r="76" spans="4:22">
      <c r="D76" s="582"/>
      <c r="E76" s="582">
        <v>2</v>
      </c>
      <c r="F76" s="706" t="s">
        <v>1561</v>
      </c>
      <c r="G76" s="442" t="s">
        <v>151</v>
      </c>
      <c r="H76" s="740" t="s">
        <v>2041</v>
      </c>
      <c r="I76" s="740" t="s">
        <v>2051</v>
      </c>
      <c r="J76" s="704">
        <v>32488073</v>
      </c>
      <c r="K76" s="442" t="s">
        <v>1191</v>
      </c>
      <c r="L76" s="749">
        <v>19173</v>
      </c>
      <c r="M76" s="586">
        <f t="shared" ca="1" si="1"/>
        <v>73</v>
      </c>
      <c r="N76" s="442"/>
      <c r="O76" s="741">
        <v>3043599576</v>
      </c>
      <c r="P76" s="741" t="s">
        <v>2050</v>
      </c>
      <c r="Q76" s="442" t="s">
        <v>1561</v>
      </c>
      <c r="R76" s="188" t="s">
        <v>891</v>
      </c>
      <c r="S76" s="188" t="s">
        <v>461</v>
      </c>
      <c r="T76" s="750">
        <v>45891</v>
      </c>
      <c r="U76" s="587" t="s">
        <v>160</v>
      </c>
      <c r="V76" s="144" t="s">
        <v>210</v>
      </c>
    </row>
    <row r="77" spans="4:22">
      <c r="D77" s="582"/>
      <c r="E77" s="582">
        <v>2</v>
      </c>
      <c r="F77" s="706" t="s">
        <v>1561</v>
      </c>
      <c r="G77" s="442" t="s">
        <v>151</v>
      </c>
      <c r="H77" s="740" t="s">
        <v>2041</v>
      </c>
      <c r="I77" s="740" t="s">
        <v>2047</v>
      </c>
      <c r="J77" s="704">
        <v>32207522</v>
      </c>
      <c r="K77" s="442" t="s">
        <v>1191</v>
      </c>
      <c r="L77" s="749">
        <v>30300</v>
      </c>
      <c r="M77" s="586">
        <f t="shared" ca="1" si="1"/>
        <v>43</v>
      </c>
      <c r="N77" s="442"/>
      <c r="O77" s="741">
        <v>3116338742</v>
      </c>
      <c r="P77" s="741" t="s">
        <v>2046</v>
      </c>
      <c r="Q77" s="442" t="s">
        <v>1561</v>
      </c>
      <c r="R77" s="188" t="s">
        <v>891</v>
      </c>
      <c r="S77" s="188" t="s">
        <v>461</v>
      </c>
      <c r="T77" s="750">
        <v>45891</v>
      </c>
      <c r="U77" s="587" t="s">
        <v>160</v>
      </c>
      <c r="V77" s="144" t="s">
        <v>210</v>
      </c>
    </row>
    <row r="78" spans="4:22">
      <c r="D78" s="582"/>
      <c r="E78" s="582">
        <v>2</v>
      </c>
      <c r="F78" s="706" t="s">
        <v>1561</v>
      </c>
      <c r="G78" s="442" t="s">
        <v>151</v>
      </c>
      <c r="H78" s="740" t="s">
        <v>2041</v>
      </c>
      <c r="I78" s="740" t="s">
        <v>2045</v>
      </c>
      <c r="J78" s="704">
        <v>42874569</v>
      </c>
      <c r="K78" s="442" t="s">
        <v>1191</v>
      </c>
      <c r="L78" s="749">
        <v>22442</v>
      </c>
      <c r="M78" s="586">
        <f t="shared" ca="1" si="1"/>
        <v>64</v>
      </c>
      <c r="N78" s="442"/>
      <c r="O78" s="741">
        <v>3002422799</v>
      </c>
      <c r="P78" s="741" t="s">
        <v>2044</v>
      </c>
      <c r="Q78" s="442" t="s">
        <v>1561</v>
      </c>
      <c r="R78" s="188" t="s">
        <v>891</v>
      </c>
      <c r="S78" s="188" t="s">
        <v>461</v>
      </c>
      <c r="T78" s="750">
        <v>45891</v>
      </c>
      <c r="U78" s="587" t="s">
        <v>160</v>
      </c>
      <c r="V78" s="144" t="s">
        <v>210</v>
      </c>
    </row>
    <row r="79" spans="4:22">
      <c r="D79" s="582"/>
      <c r="E79" s="582">
        <v>2</v>
      </c>
      <c r="F79" s="706" t="s">
        <v>1561</v>
      </c>
      <c r="G79" s="442" t="s">
        <v>151</v>
      </c>
      <c r="H79" s="740" t="s">
        <v>2041</v>
      </c>
      <c r="I79" s="740" t="s">
        <v>2043</v>
      </c>
      <c r="J79" s="704">
        <v>42995316</v>
      </c>
      <c r="K79" s="442" t="s">
        <v>1191</v>
      </c>
      <c r="L79" s="749">
        <v>20441</v>
      </c>
      <c r="M79" s="586">
        <f t="shared" ca="1" si="1"/>
        <v>70</v>
      </c>
      <c r="N79" s="442"/>
      <c r="O79" s="741">
        <v>3153314328</v>
      </c>
      <c r="P79" s="741" t="s">
        <v>2042</v>
      </c>
      <c r="Q79" s="442" t="s">
        <v>1561</v>
      </c>
      <c r="R79" s="188" t="s">
        <v>891</v>
      </c>
      <c r="S79" s="188" t="s">
        <v>663</v>
      </c>
      <c r="T79" s="750">
        <v>45891</v>
      </c>
      <c r="U79" s="587" t="s">
        <v>160</v>
      </c>
      <c r="V79" s="144" t="s">
        <v>210</v>
      </c>
    </row>
    <row r="80" spans="4:22">
      <c r="D80" s="582"/>
      <c r="E80" s="582">
        <v>2</v>
      </c>
      <c r="F80" s="706" t="s">
        <v>1561</v>
      </c>
      <c r="G80" s="442" t="s">
        <v>151</v>
      </c>
      <c r="H80" s="740" t="s">
        <v>2041</v>
      </c>
      <c r="I80" s="740" t="s">
        <v>2040</v>
      </c>
      <c r="J80" s="704">
        <v>43035056</v>
      </c>
      <c r="K80" s="442" t="s">
        <v>1191</v>
      </c>
      <c r="L80" s="749">
        <v>22910</v>
      </c>
      <c r="M80" s="586">
        <f t="shared" ca="1" si="1"/>
        <v>63</v>
      </c>
      <c r="N80" s="442"/>
      <c r="O80" s="741">
        <v>3023040793</v>
      </c>
      <c r="P80" s="741" t="s">
        <v>2039</v>
      </c>
      <c r="Q80" s="442" t="s">
        <v>1561</v>
      </c>
      <c r="R80" s="188" t="s">
        <v>164</v>
      </c>
      <c r="S80" s="188" t="s">
        <v>230</v>
      </c>
      <c r="T80" s="750">
        <v>45891</v>
      </c>
      <c r="U80" s="587" t="s">
        <v>160</v>
      </c>
      <c r="V80" s="144" t="s">
        <v>210</v>
      </c>
    </row>
    <row r="81" spans="4:22">
      <c r="D81" s="753" t="s">
        <v>2290</v>
      </c>
      <c r="E81" s="762">
        <v>2</v>
      </c>
      <c r="F81" s="753" t="s">
        <v>1561</v>
      </c>
      <c r="G81" s="763" t="s">
        <v>151</v>
      </c>
      <c r="H81" s="764" t="s">
        <v>2026</v>
      </c>
      <c r="I81" s="764" t="s">
        <v>2038</v>
      </c>
      <c r="J81" s="775">
        <v>1128482169</v>
      </c>
      <c r="K81" s="763" t="s">
        <v>1187</v>
      </c>
      <c r="L81" s="776">
        <v>33764</v>
      </c>
      <c r="M81" s="777">
        <f t="shared" ca="1" si="1"/>
        <v>33</v>
      </c>
      <c r="N81" s="763"/>
      <c r="O81" s="775">
        <v>3013503309</v>
      </c>
      <c r="P81" s="775" t="s">
        <v>2037</v>
      </c>
      <c r="Q81" s="763" t="s">
        <v>1561</v>
      </c>
      <c r="R81" s="754" t="s">
        <v>164</v>
      </c>
      <c r="S81" s="754" t="s">
        <v>663</v>
      </c>
      <c r="T81" s="778">
        <v>45901</v>
      </c>
      <c r="U81" s="779" t="s">
        <v>166</v>
      </c>
      <c r="V81" s="761" t="s">
        <v>210</v>
      </c>
    </row>
    <row r="82" spans="4:22">
      <c r="D82" s="588"/>
      <c r="E82" s="588">
        <v>2</v>
      </c>
      <c r="F82" s="707" t="s">
        <v>1561</v>
      </c>
      <c r="G82" s="136" t="s">
        <v>151</v>
      </c>
      <c r="H82" s="743" t="s">
        <v>2026</v>
      </c>
      <c r="I82" s="743" t="s">
        <v>2036</v>
      </c>
      <c r="J82" s="744">
        <v>1044504040</v>
      </c>
      <c r="K82" s="136" t="s">
        <v>1191</v>
      </c>
      <c r="L82" s="748">
        <v>32967</v>
      </c>
      <c r="M82" s="591">
        <f t="shared" ca="1" si="1"/>
        <v>36</v>
      </c>
      <c r="N82" s="136"/>
      <c r="O82" s="742">
        <v>3245694009</v>
      </c>
      <c r="P82" s="742" t="s">
        <v>2035</v>
      </c>
      <c r="Q82" s="442" t="s">
        <v>1561</v>
      </c>
      <c r="R82" s="202" t="s">
        <v>192</v>
      </c>
      <c r="S82" s="202" t="s">
        <v>230</v>
      </c>
      <c r="T82" s="751">
        <v>45901</v>
      </c>
      <c r="U82" s="593" t="s">
        <v>160</v>
      </c>
      <c r="V82" s="144" t="s">
        <v>210</v>
      </c>
    </row>
    <row r="83" spans="4:22">
      <c r="D83" s="588"/>
      <c r="E83" s="588">
        <v>2</v>
      </c>
      <c r="F83" s="707" t="s">
        <v>1561</v>
      </c>
      <c r="G83" s="136" t="s">
        <v>151</v>
      </c>
      <c r="H83" s="743" t="s">
        <v>2026</v>
      </c>
      <c r="I83" s="743" t="s">
        <v>2034</v>
      </c>
      <c r="J83" s="744">
        <v>43488708</v>
      </c>
      <c r="K83" s="136" t="s">
        <v>1191</v>
      </c>
      <c r="L83" s="748">
        <v>26173</v>
      </c>
      <c r="M83" s="591">
        <f t="shared" ca="1" si="1"/>
        <v>54</v>
      </c>
      <c r="N83" s="136"/>
      <c r="O83" s="742">
        <v>3142919754</v>
      </c>
      <c r="P83" s="742" t="s">
        <v>2033</v>
      </c>
      <c r="Q83" s="442" t="s">
        <v>1561</v>
      </c>
      <c r="R83" s="202" t="s">
        <v>891</v>
      </c>
      <c r="S83" s="202" t="s">
        <v>230</v>
      </c>
      <c r="T83" s="751">
        <v>45901</v>
      </c>
      <c r="U83" s="593" t="s">
        <v>160</v>
      </c>
      <c r="V83" s="144" t="s">
        <v>210</v>
      </c>
    </row>
    <row r="84" spans="4:22">
      <c r="D84" s="588"/>
      <c r="E84" s="588">
        <v>2</v>
      </c>
      <c r="F84" s="707" t="s">
        <v>1561</v>
      </c>
      <c r="G84" s="136" t="s">
        <v>151</v>
      </c>
      <c r="H84" s="743" t="s">
        <v>2026</v>
      </c>
      <c r="I84" s="743" t="s">
        <v>2032</v>
      </c>
      <c r="J84" s="744">
        <v>43514221</v>
      </c>
      <c r="K84" s="136" t="s">
        <v>1191</v>
      </c>
      <c r="L84" s="748">
        <v>24655</v>
      </c>
      <c r="M84" s="591">
        <f t="shared" ca="1" si="1"/>
        <v>58</v>
      </c>
      <c r="N84" s="136"/>
      <c r="O84" s="742">
        <v>3207525125</v>
      </c>
      <c r="P84" s="742" t="s">
        <v>2031</v>
      </c>
      <c r="Q84" s="442" t="s">
        <v>1561</v>
      </c>
      <c r="R84" s="202" t="s">
        <v>891</v>
      </c>
      <c r="S84" s="202" t="s">
        <v>663</v>
      </c>
      <c r="T84" s="751">
        <v>45901</v>
      </c>
      <c r="U84" s="593" t="s">
        <v>160</v>
      </c>
      <c r="V84" s="144" t="s">
        <v>210</v>
      </c>
    </row>
    <row r="85" spans="4:22">
      <c r="D85" s="588"/>
      <c r="E85" s="588">
        <v>2</v>
      </c>
      <c r="F85" s="707" t="s">
        <v>1561</v>
      </c>
      <c r="G85" s="136" t="s">
        <v>151</v>
      </c>
      <c r="H85" s="743" t="s">
        <v>2026</v>
      </c>
      <c r="I85" s="743" t="s">
        <v>2030</v>
      </c>
      <c r="J85" s="744">
        <v>32524481</v>
      </c>
      <c r="K85" s="136" t="s">
        <v>1191</v>
      </c>
      <c r="L85" s="748">
        <v>20477</v>
      </c>
      <c r="M85" s="591">
        <f t="shared" ca="1" si="1"/>
        <v>70</v>
      </c>
      <c r="N85" s="136"/>
      <c r="O85" s="742">
        <v>3172595136</v>
      </c>
      <c r="P85" s="742" t="s">
        <v>2029</v>
      </c>
      <c r="Q85" s="442" t="s">
        <v>1561</v>
      </c>
      <c r="R85" s="202" t="s">
        <v>333</v>
      </c>
      <c r="S85" s="202" t="s">
        <v>663</v>
      </c>
      <c r="T85" s="751">
        <v>45901</v>
      </c>
      <c r="U85" s="593" t="s">
        <v>160</v>
      </c>
      <c r="V85" s="144" t="s">
        <v>210</v>
      </c>
    </row>
    <row r="86" spans="4:22">
      <c r="D86" s="588"/>
      <c r="E86" s="588">
        <v>2</v>
      </c>
      <c r="F86" s="707" t="s">
        <v>1561</v>
      </c>
      <c r="G86" s="136" t="s">
        <v>151</v>
      </c>
      <c r="H86" s="743" t="s">
        <v>2026</v>
      </c>
      <c r="I86" s="743" t="s">
        <v>2028</v>
      </c>
      <c r="J86" s="744">
        <v>43563629</v>
      </c>
      <c r="K86" s="136" t="s">
        <v>1191</v>
      </c>
      <c r="L86" s="748">
        <v>25553</v>
      </c>
      <c r="M86" s="591">
        <f t="shared" ca="1" si="1"/>
        <v>56</v>
      </c>
      <c r="N86" s="136"/>
      <c r="O86" s="742">
        <v>3226630263</v>
      </c>
      <c r="P86" s="742" t="s">
        <v>2027</v>
      </c>
      <c r="Q86" s="442" t="s">
        <v>1561</v>
      </c>
      <c r="R86" s="202" t="s">
        <v>891</v>
      </c>
      <c r="S86" s="202" t="s">
        <v>663</v>
      </c>
      <c r="T86" s="751">
        <v>45910</v>
      </c>
      <c r="U86" s="593" t="s">
        <v>160</v>
      </c>
      <c r="V86" s="144" t="s">
        <v>210</v>
      </c>
    </row>
    <row r="87" spans="4:22">
      <c r="D87" s="753" t="s">
        <v>2290</v>
      </c>
      <c r="E87" s="762">
        <v>2</v>
      </c>
      <c r="F87" s="762" t="s">
        <v>1561</v>
      </c>
      <c r="G87" s="763" t="s">
        <v>151</v>
      </c>
      <c r="H87" s="31" t="s">
        <v>2015</v>
      </c>
      <c r="I87" s="31" t="s">
        <v>2014</v>
      </c>
      <c r="J87" s="770">
        <v>71382665</v>
      </c>
      <c r="K87" s="763" t="s">
        <v>1187</v>
      </c>
      <c r="L87" s="772">
        <v>29858</v>
      </c>
      <c r="M87" s="766">
        <f t="shared" ca="1" si="1"/>
        <v>44</v>
      </c>
      <c r="N87" s="763"/>
      <c r="O87" s="770">
        <v>3104055124</v>
      </c>
      <c r="P87" s="770" t="s">
        <v>2013</v>
      </c>
      <c r="Q87" s="763" t="s">
        <v>1610</v>
      </c>
      <c r="R87" s="754" t="s">
        <v>333</v>
      </c>
      <c r="S87" s="754" t="s">
        <v>663</v>
      </c>
      <c r="T87" s="772">
        <v>45891</v>
      </c>
      <c r="U87" s="768" t="s">
        <v>166</v>
      </c>
      <c r="V87" s="761" t="s">
        <v>210</v>
      </c>
    </row>
    <row r="88" spans="4:22">
      <c r="D88" s="567"/>
      <c r="E88" s="568">
        <v>2</v>
      </c>
      <c r="F88" s="567" t="s">
        <v>1561</v>
      </c>
      <c r="G88" s="438" t="s">
        <v>151</v>
      </c>
      <c r="H88" s="562" t="s">
        <v>2015</v>
      </c>
      <c r="I88" s="562" t="s">
        <v>2025</v>
      </c>
      <c r="J88" s="465">
        <v>42751708</v>
      </c>
      <c r="K88" s="438" t="s">
        <v>1191</v>
      </c>
      <c r="L88" s="575">
        <v>21836</v>
      </c>
      <c r="M88" s="563">
        <f t="shared" ca="1" si="1"/>
        <v>66</v>
      </c>
      <c r="N88" s="438"/>
      <c r="O88" s="465">
        <v>3008988680</v>
      </c>
      <c r="P88" s="465" t="s">
        <v>2024</v>
      </c>
      <c r="Q88" s="438" t="s">
        <v>1594</v>
      </c>
      <c r="R88" s="203" t="s">
        <v>891</v>
      </c>
      <c r="S88" s="203" t="s">
        <v>230</v>
      </c>
      <c r="T88" s="575">
        <v>45891</v>
      </c>
      <c r="U88" s="565" t="s">
        <v>160</v>
      </c>
      <c r="V88" s="745" t="s">
        <v>210</v>
      </c>
    </row>
    <row r="89" spans="4:22">
      <c r="D89" s="567"/>
      <c r="E89" s="567">
        <v>2</v>
      </c>
      <c r="F89" s="567" t="s">
        <v>1561</v>
      </c>
      <c r="G89" s="438" t="s">
        <v>151</v>
      </c>
      <c r="H89" s="562" t="s">
        <v>2015</v>
      </c>
      <c r="I89" s="562" t="s">
        <v>2023</v>
      </c>
      <c r="J89" s="465">
        <v>43079716</v>
      </c>
      <c r="K89" s="438" t="s">
        <v>1191</v>
      </c>
      <c r="L89" s="746">
        <v>23737</v>
      </c>
      <c r="M89" s="439">
        <f t="shared" ca="1" si="1"/>
        <v>61</v>
      </c>
      <c r="N89" s="438"/>
      <c r="O89" s="465">
        <v>3146238336</v>
      </c>
      <c r="P89" s="465" t="s">
        <v>2022</v>
      </c>
      <c r="Q89" s="438" t="s">
        <v>2177</v>
      </c>
      <c r="R89" s="203" t="s">
        <v>891</v>
      </c>
      <c r="S89" s="203" t="s">
        <v>663</v>
      </c>
      <c r="T89" s="575">
        <v>45891</v>
      </c>
      <c r="U89" s="565" t="s">
        <v>160</v>
      </c>
      <c r="V89" s="745" t="s">
        <v>210</v>
      </c>
    </row>
    <row r="90" spans="4:22">
      <c r="D90" s="567"/>
      <c r="E90" s="568">
        <v>2</v>
      </c>
      <c r="F90" s="567" t="s">
        <v>1561</v>
      </c>
      <c r="G90" s="438" t="s">
        <v>151</v>
      </c>
      <c r="H90" s="562" t="s">
        <v>2015</v>
      </c>
      <c r="I90" s="562" t="s">
        <v>2021</v>
      </c>
      <c r="J90" s="465">
        <v>3216073338</v>
      </c>
      <c r="K90" s="438" t="s">
        <v>1191</v>
      </c>
      <c r="L90" s="574">
        <v>22833</v>
      </c>
      <c r="M90" s="563">
        <f t="shared" ca="1" si="1"/>
        <v>63</v>
      </c>
      <c r="N90" s="438"/>
      <c r="O90" s="465">
        <v>3216073348</v>
      </c>
      <c r="P90" s="465" t="s">
        <v>2020</v>
      </c>
      <c r="Q90" s="438" t="s">
        <v>2178</v>
      </c>
      <c r="R90" s="203" t="s">
        <v>164</v>
      </c>
      <c r="S90" s="203" t="s">
        <v>663</v>
      </c>
      <c r="T90" s="575">
        <v>45891</v>
      </c>
      <c r="U90" s="565" t="s">
        <v>160</v>
      </c>
      <c r="V90" s="745" t="s">
        <v>210</v>
      </c>
    </row>
    <row r="91" spans="4:22">
      <c r="D91" s="567"/>
      <c r="E91" s="567">
        <v>2</v>
      </c>
      <c r="F91" s="567" t="s">
        <v>1561</v>
      </c>
      <c r="G91" s="438" t="s">
        <v>151</v>
      </c>
      <c r="H91" s="562" t="s">
        <v>2015</v>
      </c>
      <c r="I91" s="562" t="s">
        <v>2019</v>
      </c>
      <c r="J91" s="465">
        <v>98559125</v>
      </c>
      <c r="K91" s="438" t="s">
        <v>1187</v>
      </c>
      <c r="L91" s="575">
        <v>26370</v>
      </c>
      <c r="M91" s="439">
        <f t="shared" ca="1" si="1"/>
        <v>54</v>
      </c>
      <c r="N91" s="438"/>
      <c r="O91" s="465">
        <v>3153059453</v>
      </c>
      <c r="P91" s="465" t="s">
        <v>2018</v>
      </c>
      <c r="Q91" s="438" t="s">
        <v>2179</v>
      </c>
      <c r="R91" s="203" t="s">
        <v>333</v>
      </c>
      <c r="S91" s="203" t="s">
        <v>230</v>
      </c>
      <c r="T91" s="575">
        <v>45891</v>
      </c>
      <c r="U91" s="565" t="s">
        <v>160</v>
      </c>
      <c r="V91" s="745" t="s">
        <v>210</v>
      </c>
    </row>
    <row r="92" spans="4:22">
      <c r="D92" s="567"/>
      <c r="E92" s="568">
        <v>2</v>
      </c>
      <c r="F92" s="567" t="s">
        <v>1561</v>
      </c>
      <c r="G92" s="438" t="s">
        <v>151</v>
      </c>
      <c r="H92" s="562" t="s">
        <v>2015</v>
      </c>
      <c r="I92" s="562" t="s">
        <v>2017</v>
      </c>
      <c r="J92" s="465">
        <v>43047820</v>
      </c>
      <c r="K92" s="438" t="s">
        <v>1191</v>
      </c>
      <c r="L92" s="575">
        <v>23052</v>
      </c>
      <c r="M92" s="563">
        <f t="shared" ca="1" si="1"/>
        <v>63</v>
      </c>
      <c r="N92" s="438"/>
      <c r="O92" s="465">
        <v>3015165618</v>
      </c>
      <c r="P92" s="465" t="s">
        <v>2016</v>
      </c>
      <c r="Q92" s="438" t="s">
        <v>2180</v>
      </c>
      <c r="R92" s="203" t="s">
        <v>891</v>
      </c>
      <c r="S92" s="203" t="s">
        <v>663</v>
      </c>
      <c r="T92" s="575">
        <v>45891</v>
      </c>
      <c r="U92" s="565" t="s">
        <v>160</v>
      </c>
      <c r="V92" s="745" t="s">
        <v>210</v>
      </c>
    </row>
    <row r="93" spans="4:22">
      <c r="D93" s="753" t="s">
        <v>2290</v>
      </c>
      <c r="E93" s="762">
        <v>2</v>
      </c>
      <c r="F93" s="762" t="s">
        <v>1561</v>
      </c>
      <c r="G93" s="763" t="s">
        <v>151</v>
      </c>
      <c r="H93" s="31" t="s">
        <v>2000</v>
      </c>
      <c r="I93" s="31" t="s">
        <v>2012</v>
      </c>
      <c r="J93" s="770">
        <v>1035434038</v>
      </c>
      <c r="K93" s="763" t="s">
        <v>1191</v>
      </c>
      <c r="L93" s="771">
        <v>34932</v>
      </c>
      <c r="M93" s="766">
        <f t="shared" ca="1" si="1"/>
        <v>30</v>
      </c>
      <c r="N93" s="763"/>
      <c r="O93" s="770">
        <v>3205879007</v>
      </c>
      <c r="P93" s="770" t="s">
        <v>2011</v>
      </c>
      <c r="Q93" s="763"/>
      <c r="R93" s="754" t="s">
        <v>164</v>
      </c>
      <c r="S93" s="754" t="s">
        <v>170</v>
      </c>
      <c r="T93" s="771">
        <v>45939</v>
      </c>
      <c r="U93" s="768" t="s">
        <v>166</v>
      </c>
      <c r="V93" s="761" t="s">
        <v>210</v>
      </c>
    </row>
    <row r="94" spans="4:22">
      <c r="D94" s="576"/>
      <c r="E94" s="577">
        <v>2</v>
      </c>
      <c r="F94" s="576" t="s">
        <v>1561</v>
      </c>
      <c r="G94" s="440" t="s">
        <v>151</v>
      </c>
      <c r="H94" s="554" t="s">
        <v>2000</v>
      </c>
      <c r="I94" s="554" t="s">
        <v>2010</v>
      </c>
      <c r="J94" s="466">
        <v>1011397787</v>
      </c>
      <c r="K94" s="440" t="s">
        <v>1187</v>
      </c>
      <c r="L94" s="558">
        <v>39464</v>
      </c>
      <c r="M94" s="578">
        <f t="shared" ca="1" si="1"/>
        <v>18</v>
      </c>
      <c r="N94" s="440"/>
      <c r="O94" s="466">
        <v>3043882596</v>
      </c>
      <c r="P94" s="466" t="s">
        <v>2009</v>
      </c>
      <c r="Q94" s="581" t="s">
        <v>1602</v>
      </c>
      <c r="R94" s="204" t="s">
        <v>1585</v>
      </c>
      <c r="S94" s="204" t="s">
        <v>461</v>
      </c>
      <c r="T94" s="558">
        <v>45939</v>
      </c>
      <c r="U94" s="579" t="s">
        <v>160</v>
      </c>
      <c r="V94" s="747" t="s">
        <v>210</v>
      </c>
    </row>
    <row r="95" spans="4:22">
      <c r="D95" s="576"/>
      <c r="E95" s="576">
        <v>2</v>
      </c>
      <c r="F95" s="576" t="s">
        <v>1561</v>
      </c>
      <c r="G95" s="440" t="s">
        <v>151</v>
      </c>
      <c r="H95" s="554" t="s">
        <v>2000</v>
      </c>
      <c r="I95" s="554" t="s">
        <v>2007</v>
      </c>
      <c r="J95" s="466">
        <v>101269613</v>
      </c>
      <c r="K95" s="440" t="s">
        <v>1187</v>
      </c>
      <c r="L95" s="558">
        <v>35114</v>
      </c>
      <c r="M95" s="441">
        <f t="shared" ca="1" si="1"/>
        <v>30</v>
      </c>
      <c r="N95" s="440"/>
      <c r="O95" s="466">
        <v>3167639532</v>
      </c>
      <c r="P95" s="466" t="s">
        <v>2006</v>
      </c>
      <c r="Q95" s="581"/>
      <c r="R95" s="204" t="s">
        <v>1585</v>
      </c>
      <c r="S95" s="204" t="s">
        <v>230</v>
      </c>
      <c r="T95" s="466" t="s">
        <v>2005</v>
      </c>
      <c r="U95" s="579" t="s">
        <v>160</v>
      </c>
      <c r="V95" s="747" t="s">
        <v>210</v>
      </c>
    </row>
    <row r="96" spans="4:22">
      <c r="D96" s="576"/>
      <c r="E96" s="577">
        <v>2</v>
      </c>
      <c r="F96" s="576" t="s">
        <v>1561</v>
      </c>
      <c r="G96" s="440" t="s">
        <v>151</v>
      </c>
      <c r="H96" s="554" t="s">
        <v>2000</v>
      </c>
      <c r="I96" s="554" t="s">
        <v>2004</v>
      </c>
      <c r="J96" s="466">
        <v>71658374</v>
      </c>
      <c r="K96" s="440" t="s">
        <v>1187</v>
      </c>
      <c r="L96" s="558">
        <v>23797</v>
      </c>
      <c r="M96" s="578">
        <f t="shared" ca="1" si="1"/>
        <v>61</v>
      </c>
      <c r="N96" s="440"/>
      <c r="O96" s="466">
        <v>3197257730</v>
      </c>
      <c r="P96" s="466" t="s">
        <v>2003</v>
      </c>
      <c r="Q96" s="581"/>
      <c r="R96" s="204" t="s">
        <v>1585</v>
      </c>
      <c r="S96" s="204" t="s">
        <v>663</v>
      </c>
      <c r="T96" s="580">
        <v>45943</v>
      </c>
      <c r="U96" s="579" t="s">
        <v>160</v>
      </c>
      <c r="V96" s="747" t="s">
        <v>210</v>
      </c>
    </row>
    <row r="97" spans="4:22">
      <c r="D97" s="576"/>
      <c r="E97" s="576">
        <v>2</v>
      </c>
      <c r="F97" s="576" t="s">
        <v>1561</v>
      </c>
      <c r="G97" s="440" t="s">
        <v>151</v>
      </c>
      <c r="H97" s="554" t="s">
        <v>2000</v>
      </c>
      <c r="I97" s="554" t="s">
        <v>2002</v>
      </c>
      <c r="J97" s="466">
        <v>43067091</v>
      </c>
      <c r="K97" s="440" t="s">
        <v>1191</v>
      </c>
      <c r="L97" s="580">
        <v>23308</v>
      </c>
      <c r="M97" s="441">
        <f t="shared" ca="1" si="1"/>
        <v>62</v>
      </c>
      <c r="N97" s="440"/>
      <c r="O97" s="466">
        <v>3014280179</v>
      </c>
      <c r="P97" s="466" t="s">
        <v>2001</v>
      </c>
      <c r="Q97" s="581"/>
      <c r="R97" s="204" t="s">
        <v>164</v>
      </c>
      <c r="S97" s="204" t="s">
        <v>663</v>
      </c>
      <c r="T97" s="580">
        <v>45943</v>
      </c>
      <c r="U97" s="579" t="s">
        <v>160</v>
      </c>
      <c r="V97" s="747" t="s">
        <v>210</v>
      </c>
    </row>
    <row r="98" spans="4:22">
      <c r="D98" s="577"/>
      <c r="E98" s="577">
        <v>2</v>
      </c>
      <c r="F98" s="576" t="s">
        <v>1561</v>
      </c>
      <c r="G98" s="440" t="s">
        <v>151</v>
      </c>
      <c r="H98" s="554" t="s">
        <v>2000</v>
      </c>
      <c r="I98" s="554" t="s">
        <v>1999</v>
      </c>
      <c r="J98" s="466">
        <v>3536040</v>
      </c>
      <c r="K98" s="440" t="s">
        <v>1187</v>
      </c>
      <c r="L98" s="558">
        <v>20886</v>
      </c>
      <c r="M98" s="578">
        <f t="shared" ca="1" si="1"/>
        <v>69</v>
      </c>
      <c r="N98" s="440"/>
      <c r="O98" s="466">
        <v>3160506026</v>
      </c>
      <c r="P98" s="466"/>
      <c r="Q98" s="581"/>
      <c r="R98" s="204"/>
      <c r="S98" s="204" t="s">
        <v>193</v>
      </c>
      <c r="T98" s="558">
        <v>45939</v>
      </c>
      <c r="U98" s="579" t="s">
        <v>160</v>
      </c>
      <c r="V98" s="747" t="s">
        <v>210</v>
      </c>
    </row>
    <row r="105" spans="4:22">
      <c r="I105" s="146"/>
    </row>
    <row r="114" spans="7:22">
      <c r="S114" s="133"/>
      <c r="T114" s="133"/>
      <c r="U114" s="133"/>
      <c r="V114" s="133"/>
    </row>
    <row r="115" spans="7:22"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</row>
    <row r="118" spans="7:22">
      <c r="G118" s="144"/>
    </row>
  </sheetData>
  <phoneticPr fontId="41" type="noConversion"/>
  <conditionalFormatting sqref="J3 J75">
    <cfRule type="expression" dxfId="30" priority="385">
      <formula>COUNTIF(#REF!, J4)&gt;1</formula>
    </cfRule>
  </conditionalFormatting>
  <conditionalFormatting sqref="J3:J4 J75:J76 J88">
    <cfRule type="expression" dxfId="29" priority="386">
      <formula>COUNTIF(#REF!, #REF!)&gt;1</formula>
    </cfRule>
  </conditionalFormatting>
  <conditionalFormatting sqref="J5 J22 J34 J40 J46 J58 J77">
    <cfRule type="expression" dxfId="28" priority="387">
      <formula>COUNTIF(#REF!, J3)&gt;1</formula>
    </cfRule>
  </conditionalFormatting>
  <conditionalFormatting sqref="J6:J20 J23 J25:J32 J35:J36 J38 J41 J43:J44 J47:J50 J53:J54 J56 J59:J62 J65:J68 J71:J74 J78:J86 J89:J92 J94:J98">
    <cfRule type="expression" dxfId="27" priority="368">
      <formula>COUNTIF(#REF!, J5)&gt;1</formula>
    </cfRule>
  </conditionalFormatting>
  <conditionalFormatting sqref="J21 J39">
    <cfRule type="expression" dxfId="26" priority="394">
      <formula>COUNTIF(#REF!, J23)&gt;1</formula>
    </cfRule>
  </conditionalFormatting>
  <conditionalFormatting sqref="J24 J42">
    <cfRule type="expression" dxfId="25" priority="396">
      <formula>COUNTIF(#REF!, J21)&gt;1</formula>
    </cfRule>
  </conditionalFormatting>
  <conditionalFormatting sqref="J33 J51">
    <cfRule type="expression" dxfId="24" priority="398">
      <formula>COUNTIF(#REF!, J36)&gt;1</formula>
    </cfRule>
  </conditionalFormatting>
  <conditionalFormatting sqref="J37 J55">
    <cfRule type="expression" dxfId="23" priority="400">
      <formula>COUNTIF(#REF!, J33)&gt;1</formula>
    </cfRule>
  </conditionalFormatting>
  <conditionalFormatting sqref="J45 J57 J63 J69 J87">
    <cfRule type="expression" dxfId="22" priority="402">
      <formula>COUNTIF(#REF!, J50)&gt;1</formula>
    </cfRule>
  </conditionalFormatting>
  <conditionalFormatting sqref="J52 J64 J70">
    <cfRule type="expression" dxfId="21" priority="408">
      <formula>COUNTIF(#REF!, J45)&gt;1</formula>
    </cfRule>
  </conditionalFormatting>
  <conditionalFormatting sqref="J93">
    <cfRule type="expression" dxfId="20" priority="414">
      <formula>COUNTIF(#REF!, J87)&gt;1</formula>
    </cfRule>
  </conditionalFormatting>
  <dataValidations count="8">
    <dataValidation type="list" allowBlank="1" showInputMessage="1" showErrorMessage="1" sqref="Q4 Q6 Q12 Q14 Q16 Q18 Q20 Q40 Q42 Q44 Q34:Q38 Q57:Q62 Q64:Q74 Q94:Q98" xr:uid="{43802C18-8583-4466-9BC5-94D564780261}">
      <formula1>$A$21:$A$33</formula1>
    </dataValidation>
    <dataValidation type="list" allowBlank="1" showInputMessage="1" showErrorMessage="1" sqref="U3:U98" xr:uid="{DA1045EC-A4F9-4B80-93B0-A08063C55563}">
      <formula1>$A$18:$A$20</formula1>
    </dataValidation>
    <dataValidation type="list" allowBlank="1" showInputMessage="1" showErrorMessage="1" sqref="N3:N98" xr:uid="{1AC2F305-C963-48BB-B6AD-0279CC1EA79E}">
      <formula1>$A$8:$A$17</formula1>
    </dataValidation>
    <dataValidation type="list" allowBlank="1" showInputMessage="1" showErrorMessage="1" sqref="Q3 Q5 Q13 Q15 Q17 Q19 Q39 Q41 Q43 Q63 Q7:Q11 Q21:Q33 Q45:Q56 Q75:Q93" xr:uid="{93F7B45E-AF0B-4ADA-AE21-7BEF1862A646}">
      <formula1>$A$21:$A$32</formula1>
    </dataValidation>
    <dataValidation type="list" allowBlank="1" showInputMessage="1" showErrorMessage="1" sqref="R3:R98" xr:uid="{6AC5D82A-CB68-4867-958E-0B0B367B4408}">
      <formula1>$B$5:$B$11</formula1>
    </dataValidation>
    <dataValidation type="list" allowBlank="1" showInputMessage="1" showErrorMessage="1" sqref="S3:S98" xr:uid="{035D641E-A2CF-46C1-8CAB-AFD603ACAC46}">
      <formula1>$B$13:$B$39</formula1>
    </dataValidation>
    <dataValidation type="list" allowBlank="1" showInputMessage="1" showErrorMessage="1" sqref="G3:G117" xr:uid="{877B954A-46E8-4CF4-A4BC-53B44175DEEA}">
      <formula1>$A$1:$A$3</formula1>
    </dataValidation>
    <dataValidation type="list" allowBlank="1" showInputMessage="1" showErrorMessage="1" sqref="K3:K98" xr:uid="{748CCBC4-B0CA-4B53-AEBE-8ABB29BB3737}">
      <formula1>$A$4:$A$7</formula1>
    </dataValidation>
  </dataValidations>
  <hyperlinks>
    <hyperlink ref="P4" r:id="rId1" xr:uid="{F088E5C8-17A7-4554-9318-CC3294D5B322}"/>
    <hyperlink ref="P3" r:id="rId2" xr:uid="{F347E954-41A6-4702-9757-E297982F6825}"/>
    <hyperlink ref="P5" r:id="rId3" xr:uid="{C02D751C-DEDA-4AE2-A601-4ABA64D287E8}"/>
    <hyperlink ref="P6" r:id="rId4" xr:uid="{EC63D11B-AF1D-4B7D-96AC-A6DD20A871BD}"/>
    <hyperlink ref="P7" r:id="rId5" xr:uid="{EF7D486E-E3BA-4EA0-8C78-8673E5DD2E5C}"/>
    <hyperlink ref="P8" r:id="rId6" xr:uid="{2F6CE497-6388-4EAF-B1C6-62544615A685}"/>
    <hyperlink ref="P9" r:id="rId7" xr:uid="{84881BE9-6BF8-4E08-B37B-76DDE6117B6B}"/>
    <hyperlink ref="P10" r:id="rId8" xr:uid="{DF1759ED-3C07-468B-90A2-9932533FD6D6}"/>
    <hyperlink ref="P11" r:id="rId9" xr:uid="{CF63FEC9-C891-4D62-A097-93DB8B7A6B79}"/>
    <hyperlink ref="P12" r:id="rId10" xr:uid="{6340959D-83C3-4EB3-8A6F-7E620697BB10}"/>
    <hyperlink ref="P13" r:id="rId11" xr:uid="{0756DA9E-78C2-484E-99E8-2AD0AC133227}"/>
    <hyperlink ref="P14" r:id="rId12" xr:uid="{129E38F3-7C19-4E1D-BDE9-9530E25A4EDF}"/>
    <hyperlink ref="P15" r:id="rId13" xr:uid="{05D4210B-BA54-4BA8-8BD2-ABD9B6793679}"/>
    <hyperlink ref="P17" r:id="rId14" xr:uid="{3F77EA05-F1B0-4533-9DB1-C764DF5384D8}"/>
    <hyperlink ref="P18" r:id="rId15" xr:uid="{1F9B9B09-80EE-42B7-9685-D8AB0327E664}"/>
    <hyperlink ref="P20" r:id="rId16" xr:uid="{0C28FD52-E22E-450D-BD10-8F3DDE162556}"/>
  </hyperlinks>
  <pageMargins left="0.7" right="0.7" top="0.75" bottom="0.75" header="0.3" footer="0.3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50C7-5925-4C65-8D7F-2389F4FDFF8B}">
  <dimension ref="A2:V114"/>
  <sheetViews>
    <sheetView topLeftCell="B36" zoomScale="70" zoomScaleNormal="70" workbookViewId="0">
      <selection activeCell="C56" sqref="C56"/>
    </sheetView>
  </sheetViews>
  <sheetFormatPr baseColWidth="10" defaultColWidth="11.5546875" defaultRowHeight="14.4"/>
  <cols>
    <col min="1" max="1" width="22.6640625" style="132" hidden="1" customWidth="1"/>
    <col min="2" max="2" width="22.6640625" style="132" customWidth="1"/>
    <col min="3" max="3" width="8.33203125" style="132" customWidth="1"/>
    <col min="4" max="5" width="11.5546875" style="132"/>
    <col min="6" max="6" width="20.33203125" style="132" customWidth="1"/>
    <col min="7" max="7" width="21.88671875" style="132" customWidth="1"/>
    <col min="8" max="8" width="23.5546875" style="132" bestFit="1" customWidth="1"/>
    <col min="9" max="9" width="35" style="132" bestFit="1" customWidth="1"/>
    <col min="10" max="10" width="13.33203125" style="132" bestFit="1" customWidth="1"/>
    <col min="11" max="11" width="11.5546875" style="132"/>
    <col min="12" max="12" width="23.88671875" style="132" customWidth="1"/>
    <col min="13" max="13" width="11.6640625" style="132" bestFit="1" customWidth="1"/>
    <col min="14" max="14" width="18.33203125" style="132" customWidth="1"/>
    <col min="15" max="15" width="12.5546875" style="132" bestFit="1" customWidth="1"/>
    <col min="16" max="16" width="22" style="132" customWidth="1"/>
    <col min="17" max="17" width="22.33203125" style="132" bestFit="1" customWidth="1"/>
    <col min="18" max="18" width="13.5546875" style="132" customWidth="1"/>
    <col min="19" max="19" width="11.5546875" style="132"/>
    <col min="20" max="20" width="12.6640625" style="132" customWidth="1"/>
    <col min="21" max="21" width="30" style="132" customWidth="1"/>
    <col min="22" max="16384" width="11.5546875" style="132"/>
  </cols>
  <sheetData>
    <row r="2" spans="1:22">
      <c r="A2" s="144" t="s">
        <v>151</v>
      </c>
      <c r="B2" s="144"/>
      <c r="C2" s="144"/>
      <c r="D2" s="153" t="s">
        <v>417</v>
      </c>
      <c r="E2" s="153" t="s">
        <v>2288</v>
      </c>
      <c r="F2" s="154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2">
      <c r="A3" s="144" t="s">
        <v>129</v>
      </c>
      <c r="B3" s="144"/>
      <c r="D3" s="752" t="s">
        <v>2290</v>
      </c>
      <c r="E3" s="762">
        <v>3</v>
      </c>
      <c r="F3" s="763" t="s">
        <v>1562</v>
      </c>
      <c r="G3" s="763" t="s">
        <v>151</v>
      </c>
      <c r="H3" s="71" t="s">
        <v>152</v>
      </c>
      <c r="I3" s="780" t="s">
        <v>161</v>
      </c>
      <c r="J3" s="780">
        <v>43497474</v>
      </c>
      <c r="K3" s="763" t="s">
        <v>1191</v>
      </c>
      <c r="L3" s="781">
        <v>24145</v>
      </c>
      <c r="M3" s="766">
        <f ca="1">DATEDIF(L3,TODAY(),"Y")</f>
        <v>60</v>
      </c>
      <c r="N3" s="763"/>
      <c r="O3" s="780">
        <v>3207367036</v>
      </c>
      <c r="P3" s="780" t="s">
        <v>162</v>
      </c>
      <c r="Q3" s="763" t="s">
        <v>152</v>
      </c>
      <c r="R3" s="754" t="s">
        <v>164</v>
      </c>
      <c r="S3" s="754" t="s">
        <v>663</v>
      </c>
      <c r="T3" s="50">
        <v>2024</v>
      </c>
      <c r="U3" s="768" t="s">
        <v>166</v>
      </c>
      <c r="V3" s="782" t="s">
        <v>210</v>
      </c>
    </row>
    <row r="4" spans="1:22">
      <c r="D4" s="567"/>
      <c r="E4" s="568">
        <v>3</v>
      </c>
      <c r="F4" s="564" t="s">
        <v>1562</v>
      </c>
      <c r="G4" s="564" t="s">
        <v>151</v>
      </c>
      <c r="H4" s="595" t="s">
        <v>152</v>
      </c>
      <c r="I4" s="596" t="s">
        <v>153</v>
      </c>
      <c r="J4" s="596">
        <v>71685836</v>
      </c>
      <c r="K4" s="438" t="s">
        <v>1187</v>
      </c>
      <c r="L4" s="597">
        <v>24622</v>
      </c>
      <c r="M4" s="563">
        <f ca="1">DATEDIF(L4,TODAY(),"Y")</f>
        <v>58</v>
      </c>
      <c r="N4" s="438"/>
      <c r="O4" s="596">
        <v>3004990419</v>
      </c>
      <c r="P4" s="598" t="s">
        <v>154</v>
      </c>
      <c r="Q4" s="438" t="s">
        <v>152</v>
      </c>
      <c r="R4" s="203" t="s">
        <v>333</v>
      </c>
      <c r="S4" s="203" t="s">
        <v>663</v>
      </c>
      <c r="T4" s="599">
        <v>2024</v>
      </c>
      <c r="U4" s="565" t="s">
        <v>160</v>
      </c>
      <c r="V4" s="661" t="s">
        <v>210</v>
      </c>
    </row>
    <row r="5" spans="1:22">
      <c r="A5" s="144" t="s">
        <v>1191</v>
      </c>
      <c r="B5" t="s">
        <v>333</v>
      </c>
      <c r="C5" s="144"/>
      <c r="D5" s="567"/>
      <c r="E5" s="567">
        <v>3</v>
      </c>
      <c r="F5" s="438" t="s">
        <v>1562</v>
      </c>
      <c r="G5" s="438" t="s">
        <v>151</v>
      </c>
      <c r="H5" s="602" t="s">
        <v>152</v>
      </c>
      <c r="I5" s="596" t="s">
        <v>167</v>
      </c>
      <c r="J5" s="596">
        <v>43203029</v>
      </c>
      <c r="K5" s="438" t="s">
        <v>1191</v>
      </c>
      <c r="L5" s="597">
        <v>29266</v>
      </c>
      <c r="M5" s="439">
        <f t="shared" ref="M5:M68" ca="1" si="0">DATEDIF(L5,TODAY(),"Y")</f>
        <v>46</v>
      </c>
      <c r="N5" s="438"/>
      <c r="O5" s="596">
        <v>3024387124</v>
      </c>
      <c r="P5" s="596" t="s">
        <v>168</v>
      </c>
      <c r="Q5" s="438" t="s">
        <v>152</v>
      </c>
      <c r="R5" s="203" t="s">
        <v>164</v>
      </c>
      <c r="S5" s="203" t="s">
        <v>170</v>
      </c>
      <c r="T5" s="604">
        <v>2024</v>
      </c>
      <c r="U5" s="565" t="s">
        <v>160</v>
      </c>
      <c r="V5" s="661" t="s">
        <v>210</v>
      </c>
    </row>
    <row r="6" spans="1:22">
      <c r="A6" s="144" t="s">
        <v>1187</v>
      </c>
      <c r="B6" t="s">
        <v>164</v>
      </c>
      <c r="C6" s="144"/>
      <c r="D6" s="567"/>
      <c r="E6" s="568">
        <v>3</v>
      </c>
      <c r="F6" s="564" t="s">
        <v>1562</v>
      </c>
      <c r="G6" s="564" t="s">
        <v>151</v>
      </c>
      <c r="H6" s="602" t="s">
        <v>152</v>
      </c>
      <c r="I6" s="596" t="s">
        <v>171</v>
      </c>
      <c r="J6" s="596">
        <v>435744012</v>
      </c>
      <c r="K6" s="438" t="s">
        <v>1191</v>
      </c>
      <c r="L6" s="597">
        <v>26685</v>
      </c>
      <c r="M6" s="563">
        <f t="shared" ca="1" si="0"/>
        <v>53</v>
      </c>
      <c r="N6" s="438"/>
      <c r="O6" s="596">
        <v>3014530657</v>
      </c>
      <c r="P6" s="596" t="s">
        <v>172</v>
      </c>
      <c r="Q6" s="438" t="s">
        <v>152</v>
      </c>
      <c r="R6" s="203" t="s">
        <v>876</v>
      </c>
      <c r="S6" s="203" t="s">
        <v>1585</v>
      </c>
      <c r="T6" s="604">
        <v>2024</v>
      </c>
      <c r="U6" s="565" t="s">
        <v>160</v>
      </c>
      <c r="V6" s="661" t="s">
        <v>210</v>
      </c>
    </row>
    <row r="7" spans="1:22">
      <c r="A7" s="144" t="s">
        <v>1585</v>
      </c>
      <c r="B7" t="s">
        <v>321</v>
      </c>
      <c r="C7" s="144"/>
      <c r="D7" s="567"/>
      <c r="E7" s="567">
        <v>3</v>
      </c>
      <c r="F7" s="438" t="s">
        <v>1562</v>
      </c>
      <c r="G7" s="438" t="s">
        <v>151</v>
      </c>
      <c r="H7" s="602" t="s">
        <v>152</v>
      </c>
      <c r="I7" s="596" t="s">
        <v>175</v>
      </c>
      <c r="J7" s="596">
        <v>15442055</v>
      </c>
      <c r="K7" s="438" t="s">
        <v>1191</v>
      </c>
      <c r="L7" s="597">
        <v>34182</v>
      </c>
      <c r="M7" s="439">
        <f t="shared" ca="1" si="0"/>
        <v>32</v>
      </c>
      <c r="N7" s="438"/>
      <c r="O7" s="596">
        <v>3226812101</v>
      </c>
      <c r="P7" s="596" t="s">
        <v>176</v>
      </c>
      <c r="Q7" s="438" t="s">
        <v>152</v>
      </c>
      <c r="R7" s="203" t="s">
        <v>1585</v>
      </c>
      <c r="S7" s="203" t="s">
        <v>663</v>
      </c>
      <c r="T7" s="604">
        <v>2024</v>
      </c>
      <c r="U7" s="565" t="s">
        <v>160</v>
      </c>
      <c r="V7" s="661" t="s">
        <v>210</v>
      </c>
    </row>
    <row r="8" spans="1:22">
      <c r="B8" t="s">
        <v>192</v>
      </c>
      <c r="D8" s="567"/>
      <c r="E8" s="568">
        <v>3</v>
      </c>
      <c r="F8" s="564" t="s">
        <v>1562</v>
      </c>
      <c r="G8" s="564" t="s">
        <v>151</v>
      </c>
      <c r="H8" s="602" t="s">
        <v>152</v>
      </c>
      <c r="I8" s="596" t="s">
        <v>178</v>
      </c>
      <c r="J8" s="596">
        <v>43036338</v>
      </c>
      <c r="K8" s="438" t="s">
        <v>1191</v>
      </c>
      <c r="L8" s="605">
        <v>22643</v>
      </c>
      <c r="M8" s="563">
        <f t="shared" ca="1" si="0"/>
        <v>64</v>
      </c>
      <c r="N8" s="438"/>
      <c r="O8" s="606">
        <v>3024757546</v>
      </c>
      <c r="P8" s="596" t="s">
        <v>179</v>
      </c>
      <c r="Q8" s="438" t="s">
        <v>152</v>
      </c>
      <c r="R8" s="203" t="s">
        <v>891</v>
      </c>
      <c r="S8" s="203" t="s">
        <v>663</v>
      </c>
      <c r="T8" s="604">
        <v>2024</v>
      </c>
      <c r="U8" s="565" t="s">
        <v>160</v>
      </c>
      <c r="V8" s="661" t="s">
        <v>210</v>
      </c>
    </row>
    <row r="9" spans="1:22">
      <c r="A9" s="144" t="s">
        <v>56</v>
      </c>
      <c r="B9" t="s">
        <v>876</v>
      </c>
      <c r="C9" s="144"/>
      <c r="D9" s="753" t="s">
        <v>2290</v>
      </c>
      <c r="E9" s="762">
        <v>3</v>
      </c>
      <c r="F9" s="763" t="s">
        <v>1562</v>
      </c>
      <c r="G9" s="763" t="s">
        <v>151</v>
      </c>
      <c r="H9" s="14" t="s">
        <v>205</v>
      </c>
      <c r="I9" s="783" t="s">
        <v>222</v>
      </c>
      <c r="J9" s="783">
        <v>43033004</v>
      </c>
      <c r="K9" s="763" t="s">
        <v>1191</v>
      </c>
      <c r="L9" s="781">
        <v>22766</v>
      </c>
      <c r="M9" s="766">
        <f t="shared" ca="1" si="0"/>
        <v>64</v>
      </c>
      <c r="N9" s="763"/>
      <c r="O9" s="783">
        <v>3136970720</v>
      </c>
      <c r="P9" s="784" t="s">
        <v>223</v>
      </c>
      <c r="Q9" s="763" t="s">
        <v>1623</v>
      </c>
      <c r="R9" s="754" t="s">
        <v>333</v>
      </c>
      <c r="S9" s="754" t="s">
        <v>461</v>
      </c>
      <c r="T9" s="50">
        <v>2024</v>
      </c>
      <c r="U9" s="768" t="s">
        <v>166</v>
      </c>
      <c r="V9" s="782" t="s">
        <v>210</v>
      </c>
    </row>
    <row r="10" spans="1:22">
      <c r="A10" s="144" t="s">
        <v>212</v>
      </c>
      <c r="B10" t="s">
        <v>891</v>
      </c>
      <c r="C10" s="144"/>
      <c r="D10" s="576"/>
      <c r="E10" s="577">
        <v>3</v>
      </c>
      <c r="F10" s="581" t="s">
        <v>1562</v>
      </c>
      <c r="G10" s="581" t="s">
        <v>151</v>
      </c>
      <c r="H10" s="607" t="s">
        <v>205</v>
      </c>
      <c r="I10" s="608" t="s">
        <v>206</v>
      </c>
      <c r="J10" s="608">
        <v>94262105</v>
      </c>
      <c r="K10" s="440" t="s">
        <v>1187</v>
      </c>
      <c r="L10" s="609">
        <v>24750</v>
      </c>
      <c r="M10" s="578">
        <f t="shared" ca="1" si="0"/>
        <v>58</v>
      </c>
      <c r="N10" s="440" t="s">
        <v>56</v>
      </c>
      <c r="O10" s="608">
        <v>3012498358</v>
      </c>
      <c r="P10" s="610" t="s">
        <v>207</v>
      </c>
      <c r="Q10" s="581" t="s">
        <v>1623</v>
      </c>
      <c r="R10" s="204" t="s">
        <v>164</v>
      </c>
      <c r="S10" s="204" t="s">
        <v>193</v>
      </c>
      <c r="T10" s="612">
        <v>2024</v>
      </c>
      <c r="U10" s="579" t="s">
        <v>160</v>
      </c>
      <c r="V10" s="660" t="s">
        <v>210</v>
      </c>
    </row>
    <row r="11" spans="1:22">
      <c r="A11" s="144" t="s">
        <v>73</v>
      </c>
      <c r="B11" t="s">
        <v>1585</v>
      </c>
      <c r="C11" s="144"/>
      <c r="D11" s="576"/>
      <c r="E11" s="576">
        <v>3</v>
      </c>
      <c r="F11" s="440" t="s">
        <v>1562</v>
      </c>
      <c r="G11" s="440" t="s">
        <v>151</v>
      </c>
      <c r="H11" s="607" t="s">
        <v>205</v>
      </c>
      <c r="I11" s="608" t="s">
        <v>211</v>
      </c>
      <c r="J11" s="608">
        <v>43514436</v>
      </c>
      <c r="K11" s="440" t="s">
        <v>1191</v>
      </c>
      <c r="L11" s="609">
        <v>23634</v>
      </c>
      <c r="M11" s="441">
        <f t="shared" ca="1" si="0"/>
        <v>61</v>
      </c>
      <c r="N11" s="440" t="s">
        <v>212</v>
      </c>
      <c r="O11" s="608">
        <v>3006053654</v>
      </c>
      <c r="P11" s="610" t="s">
        <v>213</v>
      </c>
      <c r="Q11" s="440" t="s">
        <v>1623</v>
      </c>
      <c r="R11" s="204" t="s">
        <v>891</v>
      </c>
      <c r="S11" s="204" t="s">
        <v>663</v>
      </c>
      <c r="T11" s="612">
        <v>2024</v>
      </c>
      <c r="U11" s="579" t="s">
        <v>160</v>
      </c>
      <c r="V11" s="660" t="s">
        <v>210</v>
      </c>
    </row>
    <row r="12" spans="1:22">
      <c r="A12" s="144" t="s">
        <v>272</v>
      </c>
      <c r="B12" s="144"/>
      <c r="C12" s="144"/>
      <c r="D12" s="576"/>
      <c r="E12" s="577">
        <v>3</v>
      </c>
      <c r="F12" s="581" t="s">
        <v>1562</v>
      </c>
      <c r="G12" s="581" t="s">
        <v>151</v>
      </c>
      <c r="H12" s="613" t="s">
        <v>205</v>
      </c>
      <c r="I12" s="614" t="s">
        <v>215</v>
      </c>
      <c r="J12" s="614">
        <v>4904756</v>
      </c>
      <c r="K12" s="440" t="s">
        <v>1191</v>
      </c>
      <c r="L12" s="615">
        <v>22245</v>
      </c>
      <c r="M12" s="578">
        <f t="shared" ca="1" si="0"/>
        <v>65</v>
      </c>
      <c r="N12" s="440"/>
      <c r="O12" s="614">
        <v>3027120635</v>
      </c>
      <c r="P12" s="616"/>
      <c r="Q12" s="581" t="s">
        <v>1623</v>
      </c>
      <c r="R12" s="204" t="s">
        <v>891</v>
      </c>
      <c r="S12" s="204" t="s">
        <v>663</v>
      </c>
      <c r="T12" s="618">
        <v>2024</v>
      </c>
      <c r="U12" s="579" t="s">
        <v>160</v>
      </c>
      <c r="V12" s="660" t="s">
        <v>210</v>
      </c>
    </row>
    <row r="13" spans="1:22">
      <c r="A13" s="144" t="s">
        <v>114</v>
      </c>
      <c r="B13" s="171" t="s">
        <v>461</v>
      </c>
      <c r="C13" s="144"/>
      <c r="D13" s="576"/>
      <c r="E13" s="576">
        <v>3</v>
      </c>
      <c r="F13" s="440" t="s">
        <v>1562</v>
      </c>
      <c r="G13" s="440" t="s">
        <v>151</v>
      </c>
      <c r="H13" s="613" t="s">
        <v>205</v>
      </c>
      <c r="I13" s="614" t="s">
        <v>216</v>
      </c>
      <c r="J13" s="614">
        <v>43755518</v>
      </c>
      <c r="K13" s="440" t="s">
        <v>1191</v>
      </c>
      <c r="L13" s="615">
        <v>25951</v>
      </c>
      <c r="M13" s="441">
        <f t="shared" ca="1" si="0"/>
        <v>55</v>
      </c>
      <c r="N13" s="440"/>
      <c r="O13" s="614">
        <v>3014768746</v>
      </c>
      <c r="P13" s="616" t="s">
        <v>217</v>
      </c>
      <c r="Q13" s="440" t="s">
        <v>1623</v>
      </c>
      <c r="R13" s="204" t="s">
        <v>891</v>
      </c>
      <c r="S13" s="204" t="s">
        <v>218</v>
      </c>
      <c r="T13" s="618">
        <v>2024</v>
      </c>
      <c r="U13" s="579" t="s">
        <v>160</v>
      </c>
      <c r="V13" s="660" t="s">
        <v>210</v>
      </c>
    </row>
    <row r="14" spans="1:22">
      <c r="A14" s="144" t="s">
        <v>1586</v>
      </c>
      <c r="B14" s="171" t="s">
        <v>663</v>
      </c>
      <c r="C14" s="144"/>
      <c r="D14" s="576"/>
      <c r="E14" s="577">
        <v>3</v>
      </c>
      <c r="F14" s="581" t="s">
        <v>1562</v>
      </c>
      <c r="G14" s="581" t="s">
        <v>151</v>
      </c>
      <c r="H14" s="607" t="s">
        <v>205</v>
      </c>
      <c r="I14" s="608" t="s">
        <v>219</v>
      </c>
      <c r="J14" s="608">
        <v>1146438947</v>
      </c>
      <c r="K14" s="440" t="s">
        <v>1191</v>
      </c>
      <c r="L14" s="609">
        <v>34737</v>
      </c>
      <c r="M14" s="578">
        <f t="shared" ca="1" si="0"/>
        <v>31</v>
      </c>
      <c r="N14" s="440" t="s">
        <v>73</v>
      </c>
      <c r="O14" s="608">
        <v>3012796272</v>
      </c>
      <c r="P14" s="619" t="s">
        <v>220</v>
      </c>
      <c r="Q14" s="581" t="s">
        <v>1623</v>
      </c>
      <c r="R14" s="204" t="s">
        <v>321</v>
      </c>
      <c r="S14" s="204" t="s">
        <v>218</v>
      </c>
      <c r="T14" s="612">
        <v>2024</v>
      </c>
      <c r="U14" s="579" t="s">
        <v>160</v>
      </c>
      <c r="V14" s="660" t="s">
        <v>210</v>
      </c>
    </row>
    <row r="15" spans="1:22">
      <c r="A15" s="144" t="s">
        <v>227</v>
      </c>
      <c r="B15" s="171" t="s">
        <v>170</v>
      </c>
      <c r="C15" s="144"/>
      <c r="D15" s="576"/>
      <c r="E15" s="576">
        <v>3</v>
      </c>
      <c r="F15" s="440" t="s">
        <v>1562</v>
      </c>
      <c r="G15" s="440" t="s">
        <v>151</v>
      </c>
      <c r="H15" s="607" t="s">
        <v>205</v>
      </c>
      <c r="I15" s="611" t="s">
        <v>226</v>
      </c>
      <c r="J15" s="611">
        <v>1039911519</v>
      </c>
      <c r="K15" s="440" t="s">
        <v>1187</v>
      </c>
      <c r="L15" s="609">
        <v>40110</v>
      </c>
      <c r="M15" s="441">
        <f t="shared" ca="1" si="0"/>
        <v>16</v>
      </c>
      <c r="N15" s="440" t="s">
        <v>227</v>
      </c>
      <c r="O15" s="611">
        <v>3005396683</v>
      </c>
      <c r="P15" s="620" t="s">
        <v>228</v>
      </c>
      <c r="Q15" s="440" t="s">
        <v>1623</v>
      </c>
      <c r="R15" s="204" t="s">
        <v>192</v>
      </c>
      <c r="S15" s="204" t="s">
        <v>230</v>
      </c>
      <c r="T15" s="612">
        <v>2025</v>
      </c>
      <c r="U15" s="579" t="s">
        <v>160</v>
      </c>
      <c r="V15" s="660" t="s">
        <v>210</v>
      </c>
    </row>
    <row r="16" spans="1:22">
      <c r="A16" s="144" t="s">
        <v>1587</v>
      </c>
      <c r="B16" s="171" t="s">
        <v>193</v>
      </c>
      <c r="C16" s="144"/>
      <c r="D16" s="576"/>
      <c r="E16" s="577">
        <v>3</v>
      </c>
      <c r="F16" s="581" t="s">
        <v>1562</v>
      </c>
      <c r="G16" s="581" t="s">
        <v>151</v>
      </c>
      <c r="H16" s="607" t="s">
        <v>205</v>
      </c>
      <c r="I16" s="611" t="s">
        <v>231</v>
      </c>
      <c r="J16" s="611">
        <v>43055497</v>
      </c>
      <c r="K16" s="440" t="s">
        <v>1191</v>
      </c>
      <c r="L16" s="609">
        <v>23070</v>
      </c>
      <c r="M16" s="578">
        <f t="shared" ca="1" si="0"/>
        <v>63</v>
      </c>
      <c r="N16" s="440" t="s">
        <v>56</v>
      </c>
      <c r="O16" s="611">
        <v>3115933965</v>
      </c>
      <c r="P16" s="620" t="s">
        <v>232</v>
      </c>
      <c r="Q16" s="581" t="s">
        <v>1623</v>
      </c>
      <c r="R16" s="204" t="s">
        <v>1585</v>
      </c>
      <c r="S16" s="204" t="s">
        <v>663</v>
      </c>
      <c r="T16" s="612">
        <v>2025</v>
      </c>
      <c r="U16" s="579" t="s">
        <v>160</v>
      </c>
      <c r="V16" s="660" t="s">
        <v>210</v>
      </c>
    </row>
    <row r="17" spans="1:22">
      <c r="A17" s="144" t="s">
        <v>1588</v>
      </c>
      <c r="B17" s="171" t="s">
        <v>1881</v>
      </c>
      <c r="C17" s="144"/>
      <c r="D17" s="753" t="s">
        <v>2290</v>
      </c>
      <c r="E17" s="762">
        <v>3</v>
      </c>
      <c r="F17" s="763" t="s">
        <v>1562</v>
      </c>
      <c r="G17" s="763" t="s">
        <v>151</v>
      </c>
      <c r="H17" s="14" t="s">
        <v>235</v>
      </c>
      <c r="I17" s="780" t="s">
        <v>236</v>
      </c>
      <c r="J17" s="780">
        <v>43577287</v>
      </c>
      <c r="K17" s="763" t="s">
        <v>1191</v>
      </c>
      <c r="L17" s="781">
        <v>27268</v>
      </c>
      <c r="M17" s="766">
        <f t="shared" ca="1" si="0"/>
        <v>51</v>
      </c>
      <c r="N17" s="763"/>
      <c r="O17" s="780">
        <v>3173175409</v>
      </c>
      <c r="P17" s="785" t="s">
        <v>237</v>
      </c>
      <c r="Q17" s="763" t="s">
        <v>1612</v>
      </c>
      <c r="R17" s="754" t="s">
        <v>1585</v>
      </c>
      <c r="S17" s="754" t="s">
        <v>663</v>
      </c>
      <c r="T17" s="50">
        <v>2024</v>
      </c>
      <c r="U17" s="768" t="s">
        <v>166</v>
      </c>
      <c r="V17" s="782" t="s">
        <v>210</v>
      </c>
    </row>
    <row r="18" spans="1:22">
      <c r="B18" s="171" t="s">
        <v>1882</v>
      </c>
      <c r="D18" s="582"/>
      <c r="E18" s="585">
        <v>3</v>
      </c>
      <c r="F18" s="663" t="s">
        <v>1562</v>
      </c>
      <c r="G18" s="663" t="s">
        <v>151</v>
      </c>
      <c r="H18" s="626" t="s">
        <v>235</v>
      </c>
      <c r="I18" s="627" t="s">
        <v>239</v>
      </c>
      <c r="J18" s="627">
        <v>71758578</v>
      </c>
      <c r="K18" s="442" t="s">
        <v>1187</v>
      </c>
      <c r="L18" s="628">
        <v>27755</v>
      </c>
      <c r="M18" s="586">
        <f t="shared" ca="1" si="0"/>
        <v>50</v>
      </c>
      <c r="N18" s="442" t="s">
        <v>56</v>
      </c>
      <c r="O18" s="627">
        <v>3005877738</v>
      </c>
      <c r="P18" s="629" t="s">
        <v>240</v>
      </c>
      <c r="Q18" s="442" t="s">
        <v>1612</v>
      </c>
      <c r="R18" s="188" t="s">
        <v>164</v>
      </c>
      <c r="S18" s="188" t="s">
        <v>193</v>
      </c>
      <c r="T18" s="630">
        <v>2024</v>
      </c>
      <c r="U18" s="587" t="s">
        <v>160</v>
      </c>
      <c r="V18" s="625" t="s">
        <v>210</v>
      </c>
    </row>
    <row r="19" spans="1:22">
      <c r="A19" s="144" t="s">
        <v>160</v>
      </c>
      <c r="B19" s="171" t="s">
        <v>405</v>
      </c>
      <c r="C19" s="144"/>
      <c r="D19" s="582"/>
      <c r="E19" s="582">
        <v>3</v>
      </c>
      <c r="F19" s="442" t="s">
        <v>1562</v>
      </c>
      <c r="G19" s="442" t="s">
        <v>151</v>
      </c>
      <c r="H19" s="626" t="s">
        <v>235</v>
      </c>
      <c r="I19" s="627" t="s">
        <v>242</v>
      </c>
      <c r="J19" s="627">
        <v>71527136</v>
      </c>
      <c r="K19" s="442" t="s">
        <v>1187</v>
      </c>
      <c r="L19" s="628">
        <v>31426</v>
      </c>
      <c r="M19" s="443">
        <f t="shared" ca="1" si="0"/>
        <v>40</v>
      </c>
      <c r="N19" s="442" t="s">
        <v>56</v>
      </c>
      <c r="O19" s="627">
        <v>3143381608</v>
      </c>
      <c r="P19" s="627" t="s">
        <v>243</v>
      </c>
      <c r="Q19" s="442" t="s">
        <v>1612</v>
      </c>
      <c r="R19" s="188" t="s">
        <v>333</v>
      </c>
      <c r="S19" s="188" t="s">
        <v>663</v>
      </c>
      <c r="T19" s="630">
        <v>2024</v>
      </c>
      <c r="U19" s="587" t="s">
        <v>160</v>
      </c>
      <c r="V19" s="625" t="s">
        <v>210</v>
      </c>
    </row>
    <row r="20" spans="1:22">
      <c r="A20" s="144" t="s">
        <v>166</v>
      </c>
      <c r="B20" s="171" t="s">
        <v>1883</v>
      </c>
      <c r="C20" s="144"/>
      <c r="D20" s="582"/>
      <c r="E20" s="585">
        <v>3</v>
      </c>
      <c r="F20" s="663" t="s">
        <v>1562</v>
      </c>
      <c r="G20" s="663" t="s">
        <v>151</v>
      </c>
      <c r="H20" s="626" t="s">
        <v>235</v>
      </c>
      <c r="I20" s="627" t="s">
        <v>245</v>
      </c>
      <c r="J20" s="627">
        <v>71785581</v>
      </c>
      <c r="K20" s="442" t="s">
        <v>1187</v>
      </c>
      <c r="L20" s="628">
        <v>28650</v>
      </c>
      <c r="M20" s="586">
        <f t="shared" ca="1" si="0"/>
        <v>47</v>
      </c>
      <c r="N20" s="442" t="s">
        <v>56</v>
      </c>
      <c r="O20" s="627">
        <v>3188396057</v>
      </c>
      <c r="P20" s="629" t="s">
        <v>246</v>
      </c>
      <c r="Q20" s="442" t="s">
        <v>1612</v>
      </c>
      <c r="R20" s="188" t="s">
        <v>333</v>
      </c>
      <c r="S20" s="188" t="s">
        <v>663</v>
      </c>
      <c r="T20" s="630">
        <v>2024</v>
      </c>
      <c r="U20" s="587" t="s">
        <v>160</v>
      </c>
      <c r="V20" s="625" t="s">
        <v>210</v>
      </c>
    </row>
    <row r="21" spans="1:22">
      <c r="B21" s="171" t="s">
        <v>230</v>
      </c>
      <c r="D21" s="582"/>
      <c r="E21" s="582">
        <v>3</v>
      </c>
      <c r="F21" s="442" t="s">
        <v>1562</v>
      </c>
      <c r="G21" s="442" t="s">
        <v>151</v>
      </c>
      <c r="H21" s="621" t="s">
        <v>235</v>
      </c>
      <c r="I21" s="622" t="s">
        <v>248</v>
      </c>
      <c r="J21" s="622">
        <v>1020420633</v>
      </c>
      <c r="K21" s="442" t="s">
        <v>1191</v>
      </c>
      <c r="L21" s="623">
        <v>32621</v>
      </c>
      <c r="M21" s="443">
        <f t="shared" ca="1" si="0"/>
        <v>37</v>
      </c>
      <c r="N21" s="442"/>
      <c r="O21" s="622">
        <v>3207167384</v>
      </c>
      <c r="P21" s="622" t="s">
        <v>249</v>
      </c>
      <c r="Q21" s="442" t="s">
        <v>1612</v>
      </c>
      <c r="R21" s="188" t="s">
        <v>891</v>
      </c>
      <c r="S21" s="188" t="s">
        <v>1898</v>
      </c>
      <c r="T21" s="624">
        <v>2024</v>
      </c>
      <c r="U21" s="587" t="s">
        <v>160</v>
      </c>
      <c r="V21" s="625" t="s">
        <v>210</v>
      </c>
    </row>
    <row r="22" spans="1:22">
      <c r="A22" s="144" t="s">
        <v>1612</v>
      </c>
      <c r="B22" s="171" t="s">
        <v>1884</v>
      </c>
      <c r="C22" s="143"/>
      <c r="D22" s="753" t="s">
        <v>2290</v>
      </c>
      <c r="E22" s="786">
        <v>3</v>
      </c>
      <c r="F22" s="774" t="s">
        <v>1562</v>
      </c>
      <c r="G22" s="774" t="s">
        <v>151</v>
      </c>
      <c r="H22" s="14" t="s">
        <v>251</v>
      </c>
      <c r="I22" s="783" t="s">
        <v>252</v>
      </c>
      <c r="J22" s="783">
        <v>6695424</v>
      </c>
      <c r="K22" s="763" t="s">
        <v>1187</v>
      </c>
      <c r="L22" s="781">
        <v>19639</v>
      </c>
      <c r="M22" s="777">
        <f t="shared" ca="1" si="0"/>
        <v>72</v>
      </c>
      <c r="N22" s="763"/>
      <c r="O22" s="783">
        <v>3016467966</v>
      </c>
      <c r="P22" s="783" t="s">
        <v>253</v>
      </c>
      <c r="Q22" s="774" t="s">
        <v>1621</v>
      </c>
      <c r="R22" s="754" t="s">
        <v>333</v>
      </c>
      <c r="S22" s="754" t="s">
        <v>230</v>
      </c>
      <c r="T22" s="50">
        <v>2024</v>
      </c>
      <c r="U22" s="779" t="s">
        <v>166</v>
      </c>
      <c r="V22" s="782" t="s">
        <v>210</v>
      </c>
    </row>
    <row r="23" spans="1:22">
      <c r="A23" s="144" t="s">
        <v>1613</v>
      </c>
      <c r="B23" s="171" t="s">
        <v>1885</v>
      </c>
      <c r="C23" s="143"/>
      <c r="D23" s="588"/>
      <c r="E23" s="588">
        <v>3</v>
      </c>
      <c r="F23" s="136" t="s">
        <v>1562</v>
      </c>
      <c r="G23" s="136" t="s">
        <v>151</v>
      </c>
      <c r="H23" s="631" t="s">
        <v>251</v>
      </c>
      <c r="I23" s="632" t="s">
        <v>256</v>
      </c>
      <c r="J23" s="632">
        <v>71669162</v>
      </c>
      <c r="K23" s="136" t="s">
        <v>1187</v>
      </c>
      <c r="L23" s="633">
        <v>24100</v>
      </c>
      <c r="M23" s="482">
        <f t="shared" ca="1" si="0"/>
        <v>60</v>
      </c>
      <c r="N23" s="136"/>
      <c r="O23" s="632">
        <v>3245851434</v>
      </c>
      <c r="P23" s="632"/>
      <c r="Q23" s="592" t="s">
        <v>1621</v>
      </c>
      <c r="R23" s="202" t="s">
        <v>164</v>
      </c>
      <c r="S23" s="202" t="s">
        <v>230</v>
      </c>
      <c r="T23" s="635">
        <v>2024</v>
      </c>
      <c r="U23" s="541" t="s">
        <v>160</v>
      </c>
      <c r="V23" s="662" t="s">
        <v>210</v>
      </c>
    </row>
    <row r="24" spans="1:22">
      <c r="A24" s="144" t="s">
        <v>1614</v>
      </c>
      <c r="B24" s="171" t="s">
        <v>1886</v>
      </c>
      <c r="C24" s="144"/>
      <c r="D24" s="588"/>
      <c r="E24" s="590">
        <v>3</v>
      </c>
      <c r="F24" s="592" t="s">
        <v>1562</v>
      </c>
      <c r="G24" s="592" t="s">
        <v>151</v>
      </c>
      <c r="H24" s="631" t="s">
        <v>251</v>
      </c>
      <c r="I24" s="632" t="s">
        <v>257</v>
      </c>
      <c r="J24" s="632">
        <v>70901212</v>
      </c>
      <c r="K24" s="136" t="s">
        <v>1187</v>
      </c>
      <c r="L24" s="633">
        <v>23087</v>
      </c>
      <c r="M24" s="591">
        <f t="shared" ca="1" si="0"/>
        <v>63</v>
      </c>
      <c r="N24" s="136"/>
      <c r="O24" s="632">
        <v>3006713874</v>
      </c>
      <c r="P24" s="632"/>
      <c r="Q24" s="592" t="s">
        <v>1621</v>
      </c>
      <c r="R24" s="202" t="s">
        <v>333</v>
      </c>
      <c r="S24" s="202" t="s">
        <v>230</v>
      </c>
      <c r="T24" s="635">
        <v>2024</v>
      </c>
      <c r="U24" s="541" t="s">
        <v>160</v>
      </c>
      <c r="V24" s="662" t="s">
        <v>210</v>
      </c>
    </row>
    <row r="25" spans="1:22">
      <c r="A25" s="144" t="s">
        <v>297</v>
      </c>
      <c r="B25" s="171" t="s">
        <v>1887</v>
      </c>
      <c r="D25" s="588"/>
      <c r="E25" s="588">
        <v>3</v>
      </c>
      <c r="F25" s="136" t="s">
        <v>1562</v>
      </c>
      <c r="G25" s="136" t="s">
        <v>151</v>
      </c>
      <c r="H25" s="631" t="s">
        <v>251</v>
      </c>
      <c r="I25" s="632" t="s">
        <v>259</v>
      </c>
      <c r="J25" s="632">
        <v>15918497</v>
      </c>
      <c r="K25" s="136" t="s">
        <v>1187</v>
      </c>
      <c r="L25" s="633">
        <v>24923</v>
      </c>
      <c r="M25" s="482">
        <f t="shared" ca="1" si="0"/>
        <v>58</v>
      </c>
      <c r="N25" s="136"/>
      <c r="O25" s="632">
        <v>3002793628</v>
      </c>
      <c r="P25" s="632"/>
      <c r="Q25" s="592" t="s">
        <v>1621</v>
      </c>
      <c r="R25" s="202" t="s">
        <v>333</v>
      </c>
      <c r="S25" s="202" t="s">
        <v>663</v>
      </c>
      <c r="T25" s="635">
        <v>2024</v>
      </c>
      <c r="U25" s="541" t="s">
        <v>160</v>
      </c>
      <c r="V25" s="662" t="s">
        <v>210</v>
      </c>
    </row>
    <row r="26" spans="1:22">
      <c r="A26" s="132" t="s">
        <v>152</v>
      </c>
      <c r="B26" s="171" t="s">
        <v>1888</v>
      </c>
      <c r="D26" s="588"/>
      <c r="E26" s="590">
        <v>3</v>
      </c>
      <c r="F26" s="592" t="s">
        <v>1562</v>
      </c>
      <c r="G26" s="592" t="s">
        <v>151</v>
      </c>
      <c r="H26" s="631" t="s">
        <v>251</v>
      </c>
      <c r="I26" s="632" t="s">
        <v>261</v>
      </c>
      <c r="J26" s="632">
        <v>42895101</v>
      </c>
      <c r="K26" s="136" t="s">
        <v>1191</v>
      </c>
      <c r="L26" s="633">
        <v>24894</v>
      </c>
      <c r="M26" s="591">
        <f t="shared" ca="1" si="0"/>
        <v>58</v>
      </c>
      <c r="N26" s="136"/>
      <c r="O26" s="632">
        <v>3016128976</v>
      </c>
      <c r="P26" s="634" t="s">
        <v>262</v>
      </c>
      <c r="Q26" s="592" t="s">
        <v>1621</v>
      </c>
      <c r="R26" s="202" t="s">
        <v>891</v>
      </c>
      <c r="S26" s="202" t="s">
        <v>230</v>
      </c>
      <c r="T26" s="635">
        <v>2024</v>
      </c>
      <c r="U26" s="541" t="s">
        <v>160</v>
      </c>
      <c r="V26" s="662" t="s">
        <v>210</v>
      </c>
    </row>
    <row r="27" spans="1:22">
      <c r="A27" s="144" t="s">
        <v>1615</v>
      </c>
      <c r="B27" s="171" t="s">
        <v>1889</v>
      </c>
      <c r="D27" s="588"/>
      <c r="E27" s="588">
        <v>3</v>
      </c>
      <c r="F27" s="136" t="s">
        <v>1562</v>
      </c>
      <c r="G27" s="136" t="s">
        <v>151</v>
      </c>
      <c r="H27" s="631" t="s">
        <v>251</v>
      </c>
      <c r="I27" s="632" t="s">
        <v>264</v>
      </c>
      <c r="J27" s="632">
        <v>1128398803</v>
      </c>
      <c r="K27" s="136" t="s">
        <v>1187</v>
      </c>
      <c r="L27" s="633">
        <v>32556</v>
      </c>
      <c r="M27" s="482">
        <f t="shared" ca="1" si="0"/>
        <v>37</v>
      </c>
      <c r="N27" s="136"/>
      <c r="O27" s="632">
        <v>3001222728</v>
      </c>
      <c r="P27" s="634"/>
      <c r="Q27" s="592" t="s">
        <v>1621</v>
      </c>
      <c r="R27" s="202" t="s">
        <v>333</v>
      </c>
      <c r="S27" s="202" t="s">
        <v>461</v>
      </c>
      <c r="T27" s="635">
        <v>2024</v>
      </c>
      <c r="U27" s="541" t="s">
        <v>160</v>
      </c>
      <c r="V27" s="662" t="s">
        <v>210</v>
      </c>
    </row>
    <row r="28" spans="1:22">
      <c r="A28" s="144" t="s">
        <v>1616</v>
      </c>
      <c r="B28" s="171" t="s">
        <v>1890</v>
      </c>
      <c r="D28" s="753" t="s">
        <v>2290</v>
      </c>
      <c r="E28" s="786">
        <v>3</v>
      </c>
      <c r="F28" s="774" t="s">
        <v>1562</v>
      </c>
      <c r="G28" s="774" t="s">
        <v>151</v>
      </c>
      <c r="H28" s="14" t="s">
        <v>265</v>
      </c>
      <c r="I28" s="780" t="s">
        <v>266</v>
      </c>
      <c r="J28" s="780">
        <v>44003685</v>
      </c>
      <c r="K28" s="763" t="s">
        <v>1191</v>
      </c>
      <c r="L28" s="781">
        <v>31127</v>
      </c>
      <c r="M28" s="777">
        <f t="shared" ca="1" si="0"/>
        <v>41</v>
      </c>
      <c r="N28" s="763"/>
      <c r="O28" s="780">
        <v>3244791561</v>
      </c>
      <c r="P28" s="780" t="s">
        <v>267</v>
      </c>
      <c r="Q28" s="774" t="s">
        <v>265</v>
      </c>
      <c r="R28" s="754" t="s">
        <v>1585</v>
      </c>
      <c r="S28" s="754" t="s">
        <v>663</v>
      </c>
      <c r="T28" s="50">
        <v>2024</v>
      </c>
      <c r="U28" s="779" t="s">
        <v>166</v>
      </c>
      <c r="V28" s="782" t="s">
        <v>210</v>
      </c>
    </row>
    <row r="29" spans="1:22">
      <c r="A29" s="144" t="s">
        <v>1617</v>
      </c>
      <c r="B29" s="171" t="s">
        <v>1891</v>
      </c>
      <c r="D29" s="567"/>
      <c r="E29" s="567">
        <v>3</v>
      </c>
      <c r="F29" s="438" t="s">
        <v>1562</v>
      </c>
      <c r="G29" s="438" t="s">
        <v>151</v>
      </c>
      <c r="H29" s="601" t="s">
        <v>265</v>
      </c>
      <c r="I29" s="596" t="s">
        <v>270</v>
      </c>
      <c r="J29" s="596">
        <v>1151447820</v>
      </c>
      <c r="K29" s="438" t="s">
        <v>1191</v>
      </c>
      <c r="L29" s="597">
        <v>33453</v>
      </c>
      <c r="M29" s="439">
        <f t="shared" ca="1" si="0"/>
        <v>34</v>
      </c>
      <c r="N29" s="438" t="s">
        <v>272</v>
      </c>
      <c r="O29" s="636">
        <v>3233033568</v>
      </c>
      <c r="P29" s="636"/>
      <c r="Q29" s="564" t="s">
        <v>265</v>
      </c>
      <c r="R29" s="203" t="s">
        <v>1585</v>
      </c>
      <c r="S29" s="203" t="s">
        <v>193</v>
      </c>
      <c r="T29" s="604">
        <v>2024</v>
      </c>
      <c r="U29" s="565" t="s">
        <v>160</v>
      </c>
      <c r="V29" s="661" t="s">
        <v>210</v>
      </c>
    </row>
    <row r="30" spans="1:22">
      <c r="A30" s="144" t="s">
        <v>1618</v>
      </c>
      <c r="B30" s="171" t="s">
        <v>1892</v>
      </c>
      <c r="D30" s="567"/>
      <c r="E30" s="568">
        <v>3</v>
      </c>
      <c r="F30" s="564" t="s">
        <v>1562</v>
      </c>
      <c r="G30" s="564" t="s">
        <v>151</v>
      </c>
      <c r="H30" s="637" t="s">
        <v>265</v>
      </c>
      <c r="I30" s="638"/>
      <c r="J30" s="638"/>
      <c r="K30" s="438" t="s">
        <v>1191</v>
      </c>
      <c r="L30" s="638"/>
      <c r="M30" s="563"/>
      <c r="N30" s="438"/>
      <c r="O30" s="638"/>
      <c r="P30" s="636" t="s">
        <v>273</v>
      </c>
      <c r="Q30" s="564" t="s">
        <v>265</v>
      </c>
      <c r="R30" s="203" t="s">
        <v>1585</v>
      </c>
      <c r="S30" s="203"/>
      <c r="T30" s="639">
        <v>2024</v>
      </c>
      <c r="U30" s="565" t="s">
        <v>160</v>
      </c>
      <c r="V30" s="661" t="s">
        <v>210</v>
      </c>
    </row>
    <row r="31" spans="1:22">
      <c r="A31" s="144" t="s">
        <v>1619</v>
      </c>
      <c r="B31" s="171" t="s">
        <v>1893</v>
      </c>
      <c r="D31" s="567"/>
      <c r="E31" s="567">
        <v>3</v>
      </c>
      <c r="F31" s="438" t="s">
        <v>1562</v>
      </c>
      <c r="G31" s="438" t="s">
        <v>151</v>
      </c>
      <c r="H31" s="601" t="s">
        <v>265</v>
      </c>
      <c r="I31" s="596" t="s">
        <v>274</v>
      </c>
      <c r="J31" s="596">
        <v>1128428001</v>
      </c>
      <c r="K31" s="438" t="s">
        <v>1191</v>
      </c>
      <c r="L31" s="597">
        <v>33707</v>
      </c>
      <c r="M31" s="439">
        <f t="shared" ca="1" si="0"/>
        <v>34</v>
      </c>
      <c r="N31" s="438"/>
      <c r="O31" s="596">
        <v>3244791561</v>
      </c>
      <c r="P31" s="596"/>
      <c r="Q31" s="564" t="s">
        <v>265</v>
      </c>
      <c r="R31" s="203" t="s">
        <v>164</v>
      </c>
      <c r="S31" s="203" t="s">
        <v>663</v>
      </c>
      <c r="T31" s="604">
        <v>2024</v>
      </c>
      <c r="U31" s="565" t="s">
        <v>160</v>
      </c>
      <c r="V31" s="661" t="s">
        <v>210</v>
      </c>
    </row>
    <row r="32" spans="1:22">
      <c r="A32" s="144" t="s">
        <v>265</v>
      </c>
      <c r="B32" s="171" t="s">
        <v>1894</v>
      </c>
      <c r="D32" s="567"/>
      <c r="E32" s="568">
        <v>3</v>
      </c>
      <c r="F32" s="564" t="s">
        <v>1562</v>
      </c>
      <c r="G32" s="564" t="s">
        <v>151</v>
      </c>
      <c r="H32" s="601" t="s">
        <v>265</v>
      </c>
      <c r="I32" s="596" t="s">
        <v>276</v>
      </c>
      <c r="J32" s="596">
        <v>4413648</v>
      </c>
      <c r="K32" s="438" t="s">
        <v>1187</v>
      </c>
      <c r="L32" s="597">
        <v>28937</v>
      </c>
      <c r="M32" s="563">
        <f t="shared" ca="1" si="0"/>
        <v>47</v>
      </c>
      <c r="N32" s="438"/>
      <c r="O32" s="596"/>
      <c r="P32" s="596"/>
      <c r="Q32" s="564" t="s">
        <v>265</v>
      </c>
      <c r="R32" s="203" t="s">
        <v>1585</v>
      </c>
      <c r="S32" s="203" t="s">
        <v>230</v>
      </c>
      <c r="T32" s="604">
        <v>2024</v>
      </c>
      <c r="U32" s="565" t="s">
        <v>160</v>
      </c>
      <c r="V32" s="661" t="s">
        <v>210</v>
      </c>
    </row>
    <row r="33" spans="1:22">
      <c r="A33" s="132" t="s">
        <v>1620</v>
      </c>
      <c r="B33" s="171" t="s">
        <v>1895</v>
      </c>
      <c r="D33" s="567"/>
      <c r="E33" s="567">
        <v>3</v>
      </c>
      <c r="F33" s="438" t="s">
        <v>1562</v>
      </c>
      <c r="G33" s="438" t="s">
        <v>151</v>
      </c>
      <c r="H33" s="601" t="s">
        <v>265</v>
      </c>
      <c r="I33" s="596" t="s">
        <v>278</v>
      </c>
      <c r="J33" s="596">
        <v>70471765</v>
      </c>
      <c r="K33" s="438" t="s">
        <v>1187</v>
      </c>
      <c r="L33" s="597">
        <v>29447</v>
      </c>
      <c r="M33" s="439">
        <f t="shared" ca="1" si="0"/>
        <v>45</v>
      </c>
      <c r="N33" s="438"/>
      <c r="O33" s="596"/>
      <c r="P33" s="596"/>
      <c r="Q33" s="564" t="s">
        <v>265</v>
      </c>
      <c r="R33" s="203" t="s">
        <v>1585</v>
      </c>
      <c r="S33" s="203" t="s">
        <v>230</v>
      </c>
      <c r="T33" s="604">
        <v>2024</v>
      </c>
      <c r="U33" s="565" t="s">
        <v>160</v>
      </c>
      <c r="V33" s="661" t="s">
        <v>210</v>
      </c>
    </row>
    <row r="34" spans="1:22">
      <c r="A34" s="144" t="s">
        <v>1621</v>
      </c>
      <c r="B34" s="171" t="s">
        <v>1896</v>
      </c>
      <c r="D34" s="753" t="s">
        <v>2290</v>
      </c>
      <c r="E34" s="786">
        <v>3</v>
      </c>
      <c r="F34" s="774" t="s">
        <v>1562</v>
      </c>
      <c r="G34" s="774" t="s">
        <v>151</v>
      </c>
      <c r="H34" s="88" t="s">
        <v>280</v>
      </c>
      <c r="I34" s="787" t="s">
        <v>281</v>
      </c>
      <c r="J34" s="787">
        <v>71671176</v>
      </c>
      <c r="K34" s="763" t="s">
        <v>1187</v>
      </c>
      <c r="L34" s="788">
        <v>23928</v>
      </c>
      <c r="M34" s="777">
        <f t="shared" ca="1" si="0"/>
        <v>60</v>
      </c>
      <c r="N34" s="763" t="s">
        <v>56</v>
      </c>
      <c r="O34" s="787">
        <v>3005206667</v>
      </c>
      <c r="P34" s="787" t="s">
        <v>282</v>
      </c>
      <c r="Q34" s="774" t="s">
        <v>152</v>
      </c>
      <c r="R34" s="754" t="s">
        <v>164</v>
      </c>
      <c r="S34" s="754" t="s">
        <v>663</v>
      </c>
      <c r="T34" s="94">
        <v>2024</v>
      </c>
      <c r="U34" s="779" t="s">
        <v>166</v>
      </c>
      <c r="V34" s="782" t="s">
        <v>210</v>
      </c>
    </row>
    <row r="35" spans="1:22">
      <c r="A35" s="132" t="s">
        <v>1622</v>
      </c>
      <c r="B35" s="170" t="s">
        <v>1899</v>
      </c>
      <c r="D35" s="576"/>
      <c r="E35" s="576">
        <v>3</v>
      </c>
      <c r="F35" s="440" t="s">
        <v>1562</v>
      </c>
      <c r="G35" s="440" t="s">
        <v>151</v>
      </c>
      <c r="H35" s="613" t="s">
        <v>280</v>
      </c>
      <c r="I35" s="617" t="s">
        <v>283</v>
      </c>
      <c r="J35" s="617">
        <v>70068971</v>
      </c>
      <c r="K35" s="440" t="s">
        <v>1187</v>
      </c>
      <c r="L35" s="615">
        <v>20000</v>
      </c>
      <c r="M35" s="441">
        <f t="shared" ca="1" si="0"/>
        <v>71</v>
      </c>
      <c r="N35" s="440"/>
      <c r="O35" s="617">
        <v>3012261250</v>
      </c>
      <c r="P35" s="617" t="s">
        <v>284</v>
      </c>
      <c r="Q35" s="581" t="s">
        <v>152</v>
      </c>
      <c r="R35" s="204" t="s">
        <v>1585</v>
      </c>
      <c r="S35" s="204" t="s">
        <v>230</v>
      </c>
      <c r="T35" s="618">
        <v>2024</v>
      </c>
      <c r="U35" s="579" t="s">
        <v>160</v>
      </c>
      <c r="V35" s="660" t="s">
        <v>210</v>
      </c>
    </row>
    <row r="36" spans="1:22">
      <c r="A36" s="132" t="s">
        <v>1623</v>
      </c>
      <c r="B36" s="170" t="s">
        <v>1900</v>
      </c>
      <c r="D36" s="576"/>
      <c r="E36" s="577">
        <v>3</v>
      </c>
      <c r="F36" s="581" t="s">
        <v>1562</v>
      </c>
      <c r="G36" s="581" t="s">
        <v>151</v>
      </c>
      <c r="H36" s="607" t="s">
        <v>280</v>
      </c>
      <c r="I36" s="611" t="s">
        <v>286</v>
      </c>
      <c r="J36" s="611">
        <v>43070172</v>
      </c>
      <c r="K36" s="440" t="s">
        <v>1191</v>
      </c>
      <c r="L36" s="609">
        <v>23502</v>
      </c>
      <c r="M36" s="578">
        <f t="shared" ca="1" si="0"/>
        <v>62</v>
      </c>
      <c r="N36" s="440" t="s">
        <v>56</v>
      </c>
      <c r="O36" s="611">
        <v>3146015695</v>
      </c>
      <c r="P36" s="611" t="s">
        <v>287</v>
      </c>
      <c r="Q36" s="581" t="s">
        <v>152</v>
      </c>
      <c r="R36" s="204" t="s">
        <v>891</v>
      </c>
      <c r="S36" s="204" t="s">
        <v>230</v>
      </c>
      <c r="T36" s="612">
        <v>2024</v>
      </c>
      <c r="U36" s="579" t="s">
        <v>160</v>
      </c>
      <c r="V36" s="660" t="s">
        <v>210</v>
      </c>
    </row>
    <row r="37" spans="1:22">
      <c r="B37" t="s">
        <v>1898</v>
      </c>
      <c r="D37" s="576"/>
      <c r="E37" s="576">
        <v>3</v>
      </c>
      <c r="F37" s="440" t="s">
        <v>1562</v>
      </c>
      <c r="G37" s="440" t="s">
        <v>151</v>
      </c>
      <c r="H37" s="607" t="s">
        <v>280</v>
      </c>
      <c r="I37" s="611" t="s">
        <v>288</v>
      </c>
      <c r="J37" s="611">
        <v>70165475</v>
      </c>
      <c r="K37" s="440" t="s">
        <v>1187</v>
      </c>
      <c r="L37" s="609">
        <v>27084</v>
      </c>
      <c r="M37" s="441">
        <f t="shared" ca="1" si="0"/>
        <v>52</v>
      </c>
      <c r="N37" s="440" t="s">
        <v>56</v>
      </c>
      <c r="O37" s="611">
        <v>3205264106</v>
      </c>
      <c r="P37" s="611" t="s">
        <v>289</v>
      </c>
      <c r="Q37" s="581" t="s">
        <v>152</v>
      </c>
      <c r="R37" s="204" t="s">
        <v>164</v>
      </c>
      <c r="S37" s="204" t="s">
        <v>663</v>
      </c>
      <c r="T37" s="612">
        <v>2024</v>
      </c>
      <c r="U37" s="579" t="s">
        <v>160</v>
      </c>
      <c r="V37" s="660" t="s">
        <v>210</v>
      </c>
    </row>
    <row r="38" spans="1:22">
      <c r="B38" s="144" t="s">
        <v>218</v>
      </c>
      <c r="D38" s="576"/>
      <c r="E38" s="577">
        <v>3</v>
      </c>
      <c r="F38" s="581" t="s">
        <v>1562</v>
      </c>
      <c r="G38" s="581" t="s">
        <v>151</v>
      </c>
      <c r="H38" s="613" t="s">
        <v>280</v>
      </c>
      <c r="I38" s="617" t="s">
        <v>291</v>
      </c>
      <c r="J38" s="617">
        <v>71718295</v>
      </c>
      <c r="K38" s="440" t="s">
        <v>1187</v>
      </c>
      <c r="L38" s="615">
        <v>25429</v>
      </c>
      <c r="M38" s="578">
        <f t="shared" ca="1" si="0"/>
        <v>56</v>
      </c>
      <c r="N38" s="440"/>
      <c r="O38" s="617">
        <v>3218167053</v>
      </c>
      <c r="P38" s="617" t="s">
        <v>292</v>
      </c>
      <c r="Q38" s="581" t="s">
        <v>152</v>
      </c>
      <c r="R38" s="204" t="s">
        <v>164</v>
      </c>
      <c r="S38" s="204" t="s">
        <v>1585</v>
      </c>
      <c r="T38" s="618">
        <v>2024</v>
      </c>
      <c r="U38" s="579" t="s">
        <v>160</v>
      </c>
      <c r="V38" s="660" t="s">
        <v>210</v>
      </c>
    </row>
    <row r="39" spans="1:22">
      <c r="B39" s="144" t="s">
        <v>1585</v>
      </c>
      <c r="D39" s="576"/>
      <c r="E39" s="576">
        <v>3</v>
      </c>
      <c r="F39" s="440" t="s">
        <v>1562</v>
      </c>
      <c r="G39" s="440" t="s">
        <v>151</v>
      </c>
      <c r="H39" s="607" t="s">
        <v>280</v>
      </c>
      <c r="I39" s="611" t="s">
        <v>293</v>
      </c>
      <c r="J39" s="611">
        <v>81622223</v>
      </c>
      <c r="K39" s="440" t="s">
        <v>1187</v>
      </c>
      <c r="L39" s="609">
        <v>30267</v>
      </c>
      <c r="M39" s="441">
        <f t="shared" ca="1" si="0"/>
        <v>43</v>
      </c>
      <c r="N39" s="440" t="s">
        <v>114</v>
      </c>
      <c r="O39" s="611">
        <v>3009782320</v>
      </c>
      <c r="P39" s="611"/>
      <c r="Q39" s="581" t="s">
        <v>152</v>
      </c>
      <c r="R39" s="204"/>
      <c r="S39" s="204"/>
      <c r="T39" s="612">
        <v>2024</v>
      </c>
      <c r="U39" s="579" t="s">
        <v>160</v>
      </c>
      <c r="V39" s="660" t="s">
        <v>210</v>
      </c>
    </row>
    <row r="40" spans="1:22">
      <c r="D40" s="753" t="s">
        <v>2290</v>
      </c>
      <c r="E40" s="786">
        <v>3</v>
      </c>
      <c r="F40" s="774" t="s">
        <v>1562</v>
      </c>
      <c r="G40" s="774" t="s">
        <v>151</v>
      </c>
      <c r="H40" s="14" t="s">
        <v>294</v>
      </c>
      <c r="I40" s="780" t="s">
        <v>295</v>
      </c>
      <c r="J40" s="780">
        <v>43577555</v>
      </c>
      <c r="K40" s="763" t="s">
        <v>1191</v>
      </c>
      <c r="L40" s="781">
        <v>25060</v>
      </c>
      <c r="M40" s="777">
        <f t="shared" ca="1" si="0"/>
        <v>57</v>
      </c>
      <c r="N40" s="763"/>
      <c r="O40" s="780">
        <v>3242731649</v>
      </c>
      <c r="P40" s="780" t="s">
        <v>296</v>
      </c>
      <c r="Q40" s="774" t="s">
        <v>297</v>
      </c>
      <c r="R40" s="754" t="s">
        <v>164</v>
      </c>
      <c r="S40" s="754" t="s">
        <v>461</v>
      </c>
      <c r="T40" s="50">
        <v>2024</v>
      </c>
      <c r="U40" s="779" t="s">
        <v>166</v>
      </c>
      <c r="V40" s="782" t="s">
        <v>210</v>
      </c>
    </row>
    <row r="41" spans="1:22">
      <c r="D41" s="582"/>
      <c r="E41" s="582">
        <v>3</v>
      </c>
      <c r="F41" s="442" t="s">
        <v>1562</v>
      </c>
      <c r="G41" s="442" t="s">
        <v>151</v>
      </c>
      <c r="H41" s="621" t="s">
        <v>294</v>
      </c>
      <c r="I41" s="622" t="s">
        <v>299</v>
      </c>
      <c r="J41" s="622">
        <v>43519184</v>
      </c>
      <c r="K41" s="442" t="s">
        <v>1191</v>
      </c>
      <c r="L41" s="623">
        <v>24413</v>
      </c>
      <c r="M41" s="443">
        <f t="shared" ca="1" si="0"/>
        <v>59</v>
      </c>
      <c r="N41" s="442"/>
      <c r="O41" s="622">
        <v>3113450763</v>
      </c>
      <c r="P41" s="622"/>
      <c r="Q41" s="663" t="s">
        <v>297</v>
      </c>
      <c r="R41" s="188" t="s">
        <v>891</v>
      </c>
      <c r="S41" s="188" t="s">
        <v>230</v>
      </c>
      <c r="T41" s="624">
        <v>2024</v>
      </c>
      <c r="U41" s="587" t="s">
        <v>160</v>
      </c>
      <c r="V41" s="625" t="s">
        <v>210</v>
      </c>
    </row>
    <row r="42" spans="1:22">
      <c r="D42" s="582"/>
      <c r="E42" s="585">
        <v>3</v>
      </c>
      <c r="F42" s="663" t="s">
        <v>1562</v>
      </c>
      <c r="G42" s="663" t="s">
        <v>151</v>
      </c>
      <c r="H42" s="621" t="s">
        <v>294</v>
      </c>
      <c r="I42" s="622" t="s">
        <v>301</v>
      </c>
      <c r="J42" s="622">
        <v>1000757412</v>
      </c>
      <c r="K42" s="442" t="s">
        <v>1191</v>
      </c>
      <c r="L42" s="623">
        <v>37201</v>
      </c>
      <c r="M42" s="586">
        <f t="shared" ca="1" si="0"/>
        <v>24</v>
      </c>
      <c r="N42" s="442"/>
      <c r="O42" s="622">
        <v>3114190567</v>
      </c>
      <c r="P42" s="622" t="s">
        <v>302</v>
      </c>
      <c r="Q42" s="663" t="s">
        <v>297</v>
      </c>
      <c r="R42" s="188" t="s">
        <v>192</v>
      </c>
      <c r="S42" s="188" t="s">
        <v>663</v>
      </c>
      <c r="T42" s="624">
        <v>2024</v>
      </c>
      <c r="U42" s="587" t="s">
        <v>160</v>
      </c>
      <c r="V42" s="625" t="s">
        <v>210</v>
      </c>
    </row>
    <row r="43" spans="1:22">
      <c r="D43" s="582"/>
      <c r="E43" s="582">
        <v>3</v>
      </c>
      <c r="F43" s="442" t="s">
        <v>1562</v>
      </c>
      <c r="G43" s="442" t="s">
        <v>151</v>
      </c>
      <c r="H43" s="621" t="s">
        <v>294</v>
      </c>
      <c r="I43" s="622" t="s">
        <v>303</v>
      </c>
      <c r="J43" s="622">
        <v>1013343508</v>
      </c>
      <c r="K43" s="442" t="s">
        <v>1191</v>
      </c>
      <c r="L43" s="623">
        <v>37870</v>
      </c>
      <c r="M43" s="443">
        <f t="shared" ca="1" si="0"/>
        <v>22</v>
      </c>
      <c r="N43" s="442"/>
      <c r="O43" s="622">
        <v>3006085286</v>
      </c>
      <c r="P43" s="622" t="s">
        <v>304</v>
      </c>
      <c r="Q43" s="663" t="s">
        <v>297</v>
      </c>
      <c r="R43" s="188" t="s">
        <v>321</v>
      </c>
      <c r="S43" s="188" t="s">
        <v>663</v>
      </c>
      <c r="T43" s="624">
        <v>2024</v>
      </c>
      <c r="U43" s="587" t="s">
        <v>160</v>
      </c>
      <c r="V43" s="625" t="s">
        <v>210</v>
      </c>
    </row>
    <row r="44" spans="1:22">
      <c r="D44" s="582"/>
      <c r="E44" s="585">
        <v>3</v>
      </c>
      <c r="F44" s="663" t="s">
        <v>1562</v>
      </c>
      <c r="G44" s="663" t="s">
        <v>151</v>
      </c>
      <c r="H44" s="621" t="s">
        <v>294</v>
      </c>
      <c r="I44" s="622" t="s">
        <v>306</v>
      </c>
      <c r="J44" s="622">
        <v>107165899</v>
      </c>
      <c r="K44" s="442" t="s">
        <v>1191</v>
      </c>
      <c r="L44" s="623">
        <v>32022</v>
      </c>
      <c r="M44" s="586">
        <f t="shared" ca="1" si="0"/>
        <v>38</v>
      </c>
      <c r="N44" s="442"/>
      <c r="O44" s="622">
        <v>3148931981</v>
      </c>
      <c r="P44" s="622" t="s">
        <v>307</v>
      </c>
      <c r="Q44" s="663" t="s">
        <v>297</v>
      </c>
      <c r="R44" s="188" t="s">
        <v>321</v>
      </c>
      <c r="S44" s="188" t="s">
        <v>230</v>
      </c>
      <c r="T44" s="624">
        <v>2024</v>
      </c>
      <c r="U44" s="587" t="s">
        <v>160</v>
      </c>
      <c r="V44" s="625" t="s">
        <v>210</v>
      </c>
    </row>
    <row r="45" spans="1:22">
      <c r="D45" s="582"/>
      <c r="E45" s="582">
        <v>3</v>
      </c>
      <c r="F45" s="442" t="s">
        <v>1562</v>
      </c>
      <c r="G45" s="442" t="s">
        <v>151</v>
      </c>
      <c r="H45" s="621" t="s">
        <v>294</v>
      </c>
      <c r="I45" s="622" t="s">
        <v>309</v>
      </c>
      <c r="J45" s="622">
        <v>1214731227</v>
      </c>
      <c r="K45" s="442" t="s">
        <v>1191</v>
      </c>
      <c r="L45" s="623">
        <v>34977</v>
      </c>
      <c r="M45" s="443">
        <f t="shared" ca="1" si="0"/>
        <v>30</v>
      </c>
      <c r="N45" s="442"/>
      <c r="O45" s="622">
        <v>3205113458</v>
      </c>
      <c r="P45" s="622" t="s">
        <v>310</v>
      </c>
      <c r="Q45" s="663" t="s">
        <v>297</v>
      </c>
      <c r="R45" s="188" t="s">
        <v>1585</v>
      </c>
      <c r="S45" s="188" t="s">
        <v>663</v>
      </c>
      <c r="T45" s="624">
        <v>2024</v>
      </c>
      <c r="U45" s="587" t="s">
        <v>160</v>
      </c>
      <c r="V45" s="625" t="s">
        <v>210</v>
      </c>
    </row>
    <row r="46" spans="1:22">
      <c r="D46" s="753" t="s">
        <v>2290</v>
      </c>
      <c r="E46" s="786">
        <v>3</v>
      </c>
      <c r="F46" s="774" t="s">
        <v>1562</v>
      </c>
      <c r="G46" s="774" t="s">
        <v>151</v>
      </c>
      <c r="H46" s="14" t="s">
        <v>329</v>
      </c>
      <c r="I46" s="780" t="s">
        <v>330</v>
      </c>
      <c r="J46" s="780">
        <v>1017188402</v>
      </c>
      <c r="K46" s="763" t="s">
        <v>1187</v>
      </c>
      <c r="L46" s="781">
        <v>33294</v>
      </c>
      <c r="M46" s="777">
        <f t="shared" ca="1" si="0"/>
        <v>35</v>
      </c>
      <c r="N46" s="763"/>
      <c r="O46" s="780">
        <v>3145809957</v>
      </c>
      <c r="P46" s="780" t="s">
        <v>331</v>
      </c>
      <c r="Q46" s="774" t="s">
        <v>1619</v>
      </c>
      <c r="R46" s="754" t="s">
        <v>333</v>
      </c>
      <c r="S46" s="754" t="s">
        <v>663</v>
      </c>
      <c r="T46" s="50">
        <v>2024</v>
      </c>
      <c r="U46" s="779" t="s">
        <v>166</v>
      </c>
      <c r="V46" s="782" t="s">
        <v>210</v>
      </c>
    </row>
    <row r="47" spans="1:22">
      <c r="D47" s="588"/>
      <c r="E47" s="588">
        <v>3</v>
      </c>
      <c r="F47" s="136" t="s">
        <v>1562</v>
      </c>
      <c r="G47" s="136" t="s">
        <v>151</v>
      </c>
      <c r="H47" s="631" t="s">
        <v>329</v>
      </c>
      <c r="I47" s="634" t="s">
        <v>334</v>
      </c>
      <c r="J47" s="634">
        <v>1017160889</v>
      </c>
      <c r="K47" s="136" t="s">
        <v>1191</v>
      </c>
      <c r="L47" s="633">
        <v>32298</v>
      </c>
      <c r="M47" s="482">
        <f t="shared" ca="1" si="0"/>
        <v>37</v>
      </c>
      <c r="N47" s="136"/>
      <c r="O47" s="634">
        <v>3225980580</v>
      </c>
      <c r="P47" s="634" t="s">
        <v>335</v>
      </c>
      <c r="Q47" s="592" t="s">
        <v>1619</v>
      </c>
      <c r="R47" s="202" t="s">
        <v>891</v>
      </c>
      <c r="S47" s="202" t="s">
        <v>663</v>
      </c>
      <c r="T47" s="635">
        <v>2024</v>
      </c>
      <c r="U47" s="593" t="s">
        <v>160</v>
      </c>
      <c r="V47" s="662" t="s">
        <v>210</v>
      </c>
    </row>
    <row r="48" spans="1:22">
      <c r="D48" s="588"/>
      <c r="E48" s="590">
        <v>3</v>
      </c>
      <c r="F48" s="592" t="s">
        <v>1562</v>
      </c>
      <c r="G48" s="592" t="s">
        <v>151</v>
      </c>
      <c r="H48" s="640" t="s">
        <v>329</v>
      </c>
      <c r="I48" s="641" t="s">
        <v>336</v>
      </c>
      <c r="J48" s="641">
        <v>1000397007</v>
      </c>
      <c r="K48" s="136" t="s">
        <v>1191</v>
      </c>
      <c r="L48" s="642">
        <v>36698</v>
      </c>
      <c r="M48" s="591">
        <f t="shared" ca="1" si="0"/>
        <v>25</v>
      </c>
      <c r="N48" s="136" t="s">
        <v>56</v>
      </c>
      <c r="O48" s="641">
        <v>3128771028</v>
      </c>
      <c r="P48" s="641" t="s">
        <v>337</v>
      </c>
      <c r="Q48" s="592" t="s">
        <v>1619</v>
      </c>
      <c r="R48" s="202" t="s">
        <v>333</v>
      </c>
      <c r="S48" s="202" t="s">
        <v>663</v>
      </c>
      <c r="T48" s="643">
        <v>2024</v>
      </c>
      <c r="U48" s="593" t="s">
        <v>160</v>
      </c>
      <c r="V48" s="662" t="s">
        <v>210</v>
      </c>
    </row>
    <row r="49" spans="4:22">
      <c r="D49" s="588"/>
      <c r="E49" s="588">
        <v>3</v>
      </c>
      <c r="F49" s="136" t="s">
        <v>1562</v>
      </c>
      <c r="G49" s="136" t="s">
        <v>151</v>
      </c>
      <c r="H49" s="631" t="s">
        <v>329</v>
      </c>
      <c r="I49" s="634" t="s">
        <v>338</v>
      </c>
      <c r="J49" s="634">
        <v>1036617599</v>
      </c>
      <c r="K49" s="136" t="s">
        <v>1191</v>
      </c>
      <c r="L49" s="633">
        <v>31548</v>
      </c>
      <c r="M49" s="482">
        <f t="shared" ca="1" si="0"/>
        <v>40</v>
      </c>
      <c r="N49" s="136"/>
      <c r="O49" s="634">
        <v>3246363573</v>
      </c>
      <c r="P49" s="634" t="s">
        <v>339</v>
      </c>
      <c r="Q49" s="592" t="s">
        <v>1619</v>
      </c>
      <c r="R49" s="202" t="s">
        <v>333</v>
      </c>
      <c r="S49" s="202"/>
      <c r="T49" s="635">
        <v>2024</v>
      </c>
      <c r="U49" s="593" t="s">
        <v>160</v>
      </c>
      <c r="V49" s="662" t="s">
        <v>210</v>
      </c>
    </row>
    <row r="50" spans="4:22">
      <c r="D50" s="588"/>
      <c r="E50" s="590">
        <v>3</v>
      </c>
      <c r="F50" s="592" t="s">
        <v>1562</v>
      </c>
      <c r="G50" s="592" t="s">
        <v>151</v>
      </c>
      <c r="H50" s="640" t="s">
        <v>329</v>
      </c>
      <c r="I50" s="641" t="s">
        <v>341</v>
      </c>
      <c r="J50" s="641">
        <v>43802336</v>
      </c>
      <c r="K50" s="136" t="s">
        <v>1191</v>
      </c>
      <c r="L50" s="642">
        <v>25301</v>
      </c>
      <c r="M50" s="591">
        <f t="shared" ca="1" si="0"/>
        <v>57</v>
      </c>
      <c r="N50" s="136" t="s">
        <v>56</v>
      </c>
      <c r="O50" s="641">
        <v>3044537698</v>
      </c>
      <c r="P50" s="641" t="s">
        <v>342</v>
      </c>
      <c r="Q50" s="592" t="s">
        <v>1619</v>
      </c>
      <c r="R50" s="202" t="s">
        <v>164</v>
      </c>
      <c r="S50" s="202" t="s">
        <v>663</v>
      </c>
      <c r="T50" s="643">
        <v>2024</v>
      </c>
      <c r="U50" s="593" t="s">
        <v>160</v>
      </c>
      <c r="V50" s="662" t="s">
        <v>210</v>
      </c>
    </row>
    <row r="51" spans="4:22">
      <c r="D51" s="588"/>
      <c r="E51" s="588">
        <v>3</v>
      </c>
      <c r="F51" s="136" t="s">
        <v>1562</v>
      </c>
      <c r="G51" s="136" t="s">
        <v>151</v>
      </c>
      <c r="H51" s="640" t="s">
        <v>329</v>
      </c>
      <c r="I51" s="641" t="s">
        <v>343</v>
      </c>
      <c r="J51" s="641">
        <v>43525258</v>
      </c>
      <c r="K51" s="136" t="s">
        <v>1191</v>
      </c>
      <c r="L51" s="642">
        <v>24683</v>
      </c>
      <c r="M51" s="482">
        <f t="shared" ca="1" si="0"/>
        <v>58</v>
      </c>
      <c r="N51" s="136" t="s">
        <v>73</v>
      </c>
      <c r="O51" s="641">
        <v>3103640816</v>
      </c>
      <c r="P51" s="641" t="s">
        <v>344</v>
      </c>
      <c r="Q51" s="592" t="s">
        <v>1619</v>
      </c>
      <c r="R51" s="202" t="s">
        <v>164</v>
      </c>
      <c r="S51" s="202" t="s">
        <v>193</v>
      </c>
      <c r="T51" s="643">
        <v>2024</v>
      </c>
      <c r="U51" s="593" t="s">
        <v>160</v>
      </c>
      <c r="V51" s="662" t="s">
        <v>210</v>
      </c>
    </row>
    <row r="52" spans="4:22">
      <c r="D52" s="789"/>
      <c r="E52" s="801">
        <v>3</v>
      </c>
      <c r="F52" s="802" t="s">
        <v>1562</v>
      </c>
      <c r="G52" s="802" t="s">
        <v>151</v>
      </c>
      <c r="H52" s="791" t="s">
        <v>346</v>
      </c>
      <c r="I52" s="792" t="s">
        <v>347</v>
      </c>
      <c r="J52" s="792">
        <v>1193556317</v>
      </c>
      <c r="K52" s="790" t="s">
        <v>1191</v>
      </c>
      <c r="L52" s="793">
        <v>37533</v>
      </c>
      <c r="M52" s="803">
        <f t="shared" ca="1" si="0"/>
        <v>23</v>
      </c>
      <c r="N52" s="790" t="s">
        <v>212</v>
      </c>
      <c r="O52" s="792">
        <v>3128652070</v>
      </c>
      <c r="P52" s="792" t="s">
        <v>348</v>
      </c>
      <c r="Q52" s="802" t="s">
        <v>1619</v>
      </c>
      <c r="R52" s="794" t="s">
        <v>321</v>
      </c>
      <c r="S52" s="794" t="s">
        <v>230</v>
      </c>
      <c r="T52" s="795">
        <v>2024</v>
      </c>
      <c r="U52" s="796" t="s">
        <v>166</v>
      </c>
      <c r="V52" s="797" t="s">
        <v>210</v>
      </c>
    </row>
    <row r="53" spans="4:22">
      <c r="D53" s="567"/>
      <c r="E53" s="567">
        <v>3</v>
      </c>
      <c r="F53" s="438" t="s">
        <v>1562</v>
      </c>
      <c r="G53" s="438" t="s">
        <v>151</v>
      </c>
      <c r="H53" s="601" t="s">
        <v>346</v>
      </c>
      <c r="I53" s="596" t="s">
        <v>349</v>
      </c>
      <c r="J53" s="596">
        <v>32355865</v>
      </c>
      <c r="K53" s="438" t="s">
        <v>1191</v>
      </c>
      <c r="L53" s="597">
        <v>30000</v>
      </c>
      <c r="M53" s="439">
        <f t="shared" ca="1" si="0"/>
        <v>44</v>
      </c>
      <c r="N53" s="438"/>
      <c r="O53" s="596">
        <v>3001987261</v>
      </c>
      <c r="P53" s="596" t="s">
        <v>350</v>
      </c>
      <c r="Q53" s="564" t="s">
        <v>1619</v>
      </c>
      <c r="R53" s="203" t="s">
        <v>333</v>
      </c>
      <c r="S53" s="203"/>
      <c r="T53" s="604">
        <v>2024</v>
      </c>
      <c r="U53" s="565" t="s">
        <v>160</v>
      </c>
      <c r="V53" s="661" t="s">
        <v>210</v>
      </c>
    </row>
    <row r="54" spans="4:22">
      <c r="D54" s="567"/>
      <c r="E54" s="568">
        <v>3</v>
      </c>
      <c r="F54" s="564" t="s">
        <v>1562</v>
      </c>
      <c r="G54" s="564" t="s">
        <v>151</v>
      </c>
      <c r="H54" s="601" t="s">
        <v>346</v>
      </c>
      <c r="I54" s="596" t="s">
        <v>351</v>
      </c>
      <c r="J54" s="596">
        <v>44007720</v>
      </c>
      <c r="K54" s="438" t="s">
        <v>1191</v>
      </c>
      <c r="L54" s="597">
        <v>31016</v>
      </c>
      <c r="M54" s="563">
        <f t="shared" ca="1" si="0"/>
        <v>41</v>
      </c>
      <c r="N54" s="438"/>
      <c r="O54" s="596">
        <v>3002134850</v>
      </c>
      <c r="P54" s="596"/>
      <c r="Q54" s="564" t="s">
        <v>1619</v>
      </c>
      <c r="R54" s="203" t="s">
        <v>333</v>
      </c>
      <c r="S54" s="203" t="s">
        <v>230</v>
      </c>
      <c r="T54" s="604">
        <v>2024</v>
      </c>
      <c r="U54" s="565" t="s">
        <v>160</v>
      </c>
      <c r="V54" s="661" t="s">
        <v>210</v>
      </c>
    </row>
    <row r="55" spans="4:22">
      <c r="D55" s="567"/>
      <c r="E55" s="567">
        <v>3</v>
      </c>
      <c r="F55" s="438" t="s">
        <v>1562</v>
      </c>
      <c r="G55" s="438" t="s">
        <v>151</v>
      </c>
      <c r="H55" s="601" t="s">
        <v>346</v>
      </c>
      <c r="I55" s="596" t="s">
        <v>352</v>
      </c>
      <c r="J55" s="596">
        <v>1054916859</v>
      </c>
      <c r="K55" s="438" t="s">
        <v>1191</v>
      </c>
      <c r="L55" s="597">
        <v>33079</v>
      </c>
      <c r="M55" s="439">
        <f t="shared" ca="1" si="0"/>
        <v>35</v>
      </c>
      <c r="N55" s="438" t="s">
        <v>56</v>
      </c>
      <c r="O55" s="596">
        <v>3246458449</v>
      </c>
      <c r="P55" s="596"/>
      <c r="Q55" s="564" t="s">
        <v>1619</v>
      </c>
      <c r="R55" s="203" t="s">
        <v>333</v>
      </c>
      <c r="S55" s="203" t="s">
        <v>193</v>
      </c>
      <c r="T55" s="604">
        <v>2024</v>
      </c>
      <c r="U55" s="565" t="s">
        <v>160</v>
      </c>
      <c r="V55" s="661" t="s">
        <v>210</v>
      </c>
    </row>
    <row r="56" spans="4:22">
      <c r="D56" s="567"/>
      <c r="E56" s="568">
        <v>3</v>
      </c>
      <c r="F56" s="564" t="s">
        <v>1562</v>
      </c>
      <c r="G56" s="564" t="s">
        <v>151</v>
      </c>
      <c r="H56" s="601" t="s">
        <v>346</v>
      </c>
      <c r="I56" s="596" t="s">
        <v>353</v>
      </c>
      <c r="J56" s="596">
        <v>1128432619</v>
      </c>
      <c r="K56" s="438" t="s">
        <v>1191</v>
      </c>
      <c r="L56" s="597">
        <v>32946</v>
      </c>
      <c r="M56" s="563">
        <f t="shared" ca="1" si="0"/>
        <v>36</v>
      </c>
      <c r="N56" s="438"/>
      <c r="O56" s="596">
        <v>3122901861</v>
      </c>
      <c r="P56" s="596" t="s">
        <v>354</v>
      </c>
      <c r="Q56" s="564" t="s">
        <v>1619</v>
      </c>
      <c r="R56" s="203" t="s">
        <v>1585</v>
      </c>
      <c r="S56" s="203" t="s">
        <v>193</v>
      </c>
      <c r="T56" s="604">
        <v>2024</v>
      </c>
      <c r="U56" s="565" t="s">
        <v>160</v>
      </c>
      <c r="V56" s="661" t="s">
        <v>210</v>
      </c>
    </row>
    <row r="57" spans="4:22">
      <c r="D57" s="567"/>
      <c r="E57" s="567">
        <v>3</v>
      </c>
      <c r="F57" s="438" t="s">
        <v>1562</v>
      </c>
      <c r="G57" s="438" t="s">
        <v>151</v>
      </c>
      <c r="H57" s="601" t="s">
        <v>346</v>
      </c>
      <c r="I57" s="596" t="s">
        <v>356</v>
      </c>
      <c r="J57" s="596">
        <v>71724234</v>
      </c>
      <c r="K57" s="438" t="s">
        <v>1187</v>
      </c>
      <c r="L57" s="597">
        <v>26126</v>
      </c>
      <c r="M57" s="439">
        <f t="shared" ca="1" si="0"/>
        <v>54</v>
      </c>
      <c r="N57" s="438"/>
      <c r="O57" s="596">
        <v>3233784227</v>
      </c>
      <c r="P57" s="596"/>
      <c r="Q57" s="564" t="s">
        <v>1619</v>
      </c>
      <c r="R57" s="203" t="s">
        <v>1585</v>
      </c>
      <c r="S57" s="203" t="s">
        <v>461</v>
      </c>
      <c r="T57" s="604">
        <v>2024</v>
      </c>
      <c r="U57" s="565" t="s">
        <v>160</v>
      </c>
      <c r="V57" s="661" t="s">
        <v>210</v>
      </c>
    </row>
    <row r="58" spans="4:22">
      <c r="D58" s="567"/>
      <c r="E58" s="568">
        <v>3</v>
      </c>
      <c r="F58" s="564" t="s">
        <v>1562</v>
      </c>
      <c r="G58" s="564" t="s">
        <v>151</v>
      </c>
      <c r="H58" s="601" t="s">
        <v>346</v>
      </c>
      <c r="I58" s="596" t="s">
        <v>359</v>
      </c>
      <c r="J58" s="596">
        <v>24791722</v>
      </c>
      <c r="K58" s="438" t="s">
        <v>1191</v>
      </c>
      <c r="L58" s="597"/>
      <c r="M58" s="563"/>
      <c r="N58" s="438" t="s">
        <v>73</v>
      </c>
      <c r="O58" s="596">
        <v>3246880235</v>
      </c>
      <c r="P58" s="596"/>
      <c r="Q58" s="564"/>
      <c r="R58" s="203"/>
      <c r="S58" s="203"/>
      <c r="T58" s="604"/>
      <c r="U58" s="565" t="s">
        <v>160</v>
      </c>
      <c r="V58" s="661" t="s">
        <v>210</v>
      </c>
    </row>
    <row r="59" spans="4:22">
      <c r="D59" s="753" t="s">
        <v>2290</v>
      </c>
      <c r="E59" s="762">
        <v>3</v>
      </c>
      <c r="F59" s="763" t="s">
        <v>1562</v>
      </c>
      <c r="G59" s="763" t="s">
        <v>151</v>
      </c>
      <c r="H59" s="88" t="s">
        <v>360</v>
      </c>
      <c r="I59" s="787" t="s">
        <v>364</v>
      </c>
      <c r="J59" s="787">
        <v>3003563750</v>
      </c>
      <c r="K59" s="763" t="s">
        <v>1191</v>
      </c>
      <c r="L59" s="788">
        <v>30392</v>
      </c>
      <c r="M59" s="766">
        <f t="shared" ca="1" si="0"/>
        <v>43</v>
      </c>
      <c r="N59" s="763" t="s">
        <v>73</v>
      </c>
      <c r="O59" s="787">
        <v>3003563750</v>
      </c>
      <c r="P59" s="787" t="s">
        <v>365</v>
      </c>
      <c r="Q59" s="763" t="s">
        <v>265</v>
      </c>
      <c r="R59" s="754" t="s">
        <v>891</v>
      </c>
      <c r="S59" s="754" t="s">
        <v>170</v>
      </c>
      <c r="T59" s="94">
        <v>2024</v>
      </c>
      <c r="U59" s="779" t="s">
        <v>166</v>
      </c>
      <c r="V59" s="782" t="s">
        <v>210</v>
      </c>
    </row>
    <row r="60" spans="4:22">
      <c r="D60" s="576"/>
      <c r="E60" s="577">
        <v>3</v>
      </c>
      <c r="F60" s="581" t="s">
        <v>1562</v>
      </c>
      <c r="G60" s="581" t="s">
        <v>151</v>
      </c>
      <c r="H60" s="613" t="s">
        <v>360</v>
      </c>
      <c r="I60" s="617" t="s">
        <v>361</v>
      </c>
      <c r="J60" s="617">
        <v>1017923858</v>
      </c>
      <c r="K60" s="440" t="s">
        <v>1191</v>
      </c>
      <c r="L60" s="615">
        <v>38441</v>
      </c>
      <c r="M60" s="578">
        <f t="shared" ca="1" si="0"/>
        <v>21</v>
      </c>
      <c r="N60" s="440"/>
      <c r="O60" s="617">
        <v>3006755777</v>
      </c>
      <c r="P60" s="617" t="s">
        <v>362</v>
      </c>
      <c r="Q60" s="440" t="s">
        <v>265</v>
      </c>
      <c r="R60" s="204" t="s">
        <v>891</v>
      </c>
      <c r="S60" s="204" t="s">
        <v>230</v>
      </c>
      <c r="T60" s="618">
        <v>2024</v>
      </c>
      <c r="U60" s="579" t="s">
        <v>160</v>
      </c>
      <c r="V60" s="660" t="s">
        <v>210</v>
      </c>
    </row>
    <row r="61" spans="4:22">
      <c r="D61" s="576"/>
      <c r="E61" s="576">
        <v>3</v>
      </c>
      <c r="F61" s="440" t="s">
        <v>1562</v>
      </c>
      <c r="G61" s="440" t="s">
        <v>151</v>
      </c>
      <c r="H61" s="613" t="s">
        <v>360</v>
      </c>
      <c r="I61" s="617" t="s">
        <v>366</v>
      </c>
      <c r="J61" s="617">
        <v>43475652</v>
      </c>
      <c r="K61" s="440" t="s">
        <v>1191</v>
      </c>
      <c r="L61" s="615">
        <v>23779</v>
      </c>
      <c r="M61" s="441">
        <f t="shared" ca="1" si="0"/>
        <v>61</v>
      </c>
      <c r="N61" s="440"/>
      <c r="O61" s="617">
        <v>3004390747</v>
      </c>
      <c r="P61" s="617" t="s">
        <v>367</v>
      </c>
      <c r="Q61" s="440" t="s">
        <v>265</v>
      </c>
      <c r="R61" s="204" t="s">
        <v>891</v>
      </c>
      <c r="S61" s="204" t="s">
        <v>230</v>
      </c>
      <c r="T61" s="618">
        <v>2024</v>
      </c>
      <c r="U61" s="579" t="s">
        <v>160</v>
      </c>
      <c r="V61" s="660" t="s">
        <v>210</v>
      </c>
    </row>
    <row r="62" spans="4:22">
      <c r="D62" s="576"/>
      <c r="E62" s="577">
        <v>3</v>
      </c>
      <c r="F62" s="581" t="s">
        <v>1562</v>
      </c>
      <c r="G62" s="581" t="s">
        <v>151</v>
      </c>
      <c r="H62" s="607" t="s">
        <v>360</v>
      </c>
      <c r="I62" s="611" t="s">
        <v>368</v>
      </c>
      <c r="J62" s="611">
        <v>39303570</v>
      </c>
      <c r="K62" s="440" t="s">
        <v>1191</v>
      </c>
      <c r="L62" s="609">
        <v>24891</v>
      </c>
      <c r="M62" s="578">
        <f t="shared" ca="1" si="0"/>
        <v>58</v>
      </c>
      <c r="N62" s="440" t="s">
        <v>56</v>
      </c>
      <c r="O62" s="611">
        <v>3005323190</v>
      </c>
      <c r="P62" s="611" t="s">
        <v>369</v>
      </c>
      <c r="Q62" s="440" t="s">
        <v>265</v>
      </c>
      <c r="R62" s="204" t="s">
        <v>321</v>
      </c>
      <c r="S62" s="204" t="s">
        <v>230</v>
      </c>
      <c r="T62" s="612">
        <v>2024</v>
      </c>
      <c r="U62" s="579" t="s">
        <v>160</v>
      </c>
      <c r="V62" s="660" t="s">
        <v>210</v>
      </c>
    </row>
    <row r="63" spans="4:22">
      <c r="D63" s="576"/>
      <c r="E63" s="576">
        <v>3</v>
      </c>
      <c r="F63" s="440" t="s">
        <v>1562</v>
      </c>
      <c r="G63" s="440" t="s">
        <v>151</v>
      </c>
      <c r="H63" s="613" t="s">
        <v>360</v>
      </c>
      <c r="I63" s="617" t="s">
        <v>370</v>
      </c>
      <c r="J63" s="617">
        <v>1025889195</v>
      </c>
      <c r="K63" s="440" t="s">
        <v>1187</v>
      </c>
      <c r="L63" s="615"/>
      <c r="M63" s="441"/>
      <c r="N63" s="440"/>
      <c r="O63" s="617">
        <v>3005073302</v>
      </c>
      <c r="P63" s="617"/>
      <c r="Q63" s="440" t="s">
        <v>265</v>
      </c>
      <c r="R63" s="204"/>
      <c r="S63" s="204"/>
      <c r="T63" s="618">
        <v>2024</v>
      </c>
      <c r="U63" s="579" t="s">
        <v>160</v>
      </c>
      <c r="V63" s="660" t="s">
        <v>210</v>
      </c>
    </row>
    <row r="64" spans="4:22">
      <c r="D64" s="576"/>
      <c r="E64" s="577">
        <v>3</v>
      </c>
      <c r="F64" s="581" t="s">
        <v>1562</v>
      </c>
      <c r="G64" s="581" t="s">
        <v>151</v>
      </c>
      <c r="H64" s="607" t="s">
        <v>360</v>
      </c>
      <c r="I64" s="611" t="s">
        <v>371</v>
      </c>
      <c r="J64" s="611">
        <v>10003933495</v>
      </c>
      <c r="K64" s="440" t="s">
        <v>1191</v>
      </c>
      <c r="L64" s="609">
        <v>32357</v>
      </c>
      <c r="M64" s="578">
        <f t="shared" ca="1" si="0"/>
        <v>37</v>
      </c>
      <c r="N64" s="440" t="s">
        <v>56</v>
      </c>
      <c r="O64" s="611">
        <v>3235170811</v>
      </c>
      <c r="P64" s="611" t="s">
        <v>372</v>
      </c>
      <c r="Q64" s="440" t="s">
        <v>265</v>
      </c>
      <c r="R64" s="204" t="s">
        <v>891</v>
      </c>
      <c r="S64" s="204" t="s">
        <v>193</v>
      </c>
      <c r="T64" s="612">
        <v>2025</v>
      </c>
      <c r="U64" s="579" t="s">
        <v>160</v>
      </c>
      <c r="V64" s="660" t="s">
        <v>210</v>
      </c>
    </row>
    <row r="65" spans="4:22">
      <c r="D65" s="753" t="s">
        <v>2290</v>
      </c>
      <c r="E65" s="762">
        <v>3</v>
      </c>
      <c r="F65" s="763" t="s">
        <v>1562</v>
      </c>
      <c r="G65" s="763" t="s">
        <v>151</v>
      </c>
      <c r="H65" s="14" t="s">
        <v>377</v>
      </c>
      <c r="I65" s="780" t="s">
        <v>386</v>
      </c>
      <c r="J65" s="780">
        <v>71620482</v>
      </c>
      <c r="K65" s="763" t="s">
        <v>1187</v>
      </c>
      <c r="L65" s="781">
        <v>22864</v>
      </c>
      <c r="M65" s="766">
        <f t="shared" ca="1" si="0"/>
        <v>63</v>
      </c>
      <c r="N65" s="763"/>
      <c r="O65" s="780">
        <v>3150415144</v>
      </c>
      <c r="P65" s="780" t="s">
        <v>387</v>
      </c>
      <c r="Q65" s="763" t="s">
        <v>1613</v>
      </c>
      <c r="R65" s="754" t="s">
        <v>164</v>
      </c>
      <c r="S65" s="754" t="s">
        <v>230</v>
      </c>
      <c r="T65" s="50">
        <v>2024</v>
      </c>
      <c r="U65" s="779" t="s">
        <v>166</v>
      </c>
      <c r="V65" s="782" t="s">
        <v>210</v>
      </c>
    </row>
    <row r="66" spans="4:22">
      <c r="D66" s="582"/>
      <c r="E66" s="585">
        <v>3</v>
      </c>
      <c r="F66" s="663" t="s">
        <v>1562</v>
      </c>
      <c r="G66" s="663" t="s">
        <v>151</v>
      </c>
      <c r="H66" s="621" t="s">
        <v>377</v>
      </c>
      <c r="I66" s="622" t="s">
        <v>378</v>
      </c>
      <c r="J66" s="622">
        <v>1017122387</v>
      </c>
      <c r="K66" s="442" t="s">
        <v>1191</v>
      </c>
      <c r="L66" s="623">
        <v>37895</v>
      </c>
      <c r="M66" s="586">
        <f t="shared" ca="1" si="0"/>
        <v>22</v>
      </c>
      <c r="N66" s="442"/>
      <c r="O66" s="622">
        <v>3014372885</v>
      </c>
      <c r="P66" s="622" t="s">
        <v>379</v>
      </c>
      <c r="Q66" s="442" t="s">
        <v>1613</v>
      </c>
      <c r="R66" s="188" t="s">
        <v>333</v>
      </c>
      <c r="S66" s="188" t="s">
        <v>663</v>
      </c>
      <c r="T66" s="624">
        <v>2024</v>
      </c>
      <c r="U66" s="587" t="s">
        <v>160</v>
      </c>
      <c r="V66" s="625" t="s">
        <v>210</v>
      </c>
    </row>
    <row r="67" spans="4:22">
      <c r="D67" s="582"/>
      <c r="E67" s="582">
        <v>3</v>
      </c>
      <c r="F67" s="442" t="s">
        <v>1562</v>
      </c>
      <c r="G67" s="442" t="s">
        <v>151</v>
      </c>
      <c r="H67" s="621" t="s">
        <v>377</v>
      </c>
      <c r="I67" s="622" t="s">
        <v>381</v>
      </c>
      <c r="J67" s="622">
        <v>1033177889</v>
      </c>
      <c r="K67" s="442" t="s">
        <v>1187</v>
      </c>
      <c r="L67" s="623">
        <v>38268</v>
      </c>
      <c r="M67" s="443">
        <f t="shared" ca="1" si="0"/>
        <v>21</v>
      </c>
      <c r="N67" s="442"/>
      <c r="O67" s="622">
        <v>3217121647</v>
      </c>
      <c r="P67" s="622" t="s">
        <v>382</v>
      </c>
      <c r="Q67" s="442" t="s">
        <v>1613</v>
      </c>
      <c r="R67" s="188" t="s">
        <v>192</v>
      </c>
      <c r="S67" s="188" t="s">
        <v>663</v>
      </c>
      <c r="T67" s="624">
        <v>2024</v>
      </c>
      <c r="U67" s="587" t="s">
        <v>160</v>
      </c>
      <c r="V67" s="625" t="s">
        <v>210</v>
      </c>
    </row>
    <row r="68" spans="4:22">
      <c r="D68" s="582"/>
      <c r="E68" s="585">
        <v>3</v>
      </c>
      <c r="F68" s="663" t="s">
        <v>1562</v>
      </c>
      <c r="G68" s="663" t="s">
        <v>151</v>
      </c>
      <c r="H68" s="621" t="s">
        <v>377</v>
      </c>
      <c r="I68" s="622" t="s">
        <v>383</v>
      </c>
      <c r="J68" s="622">
        <v>1017184434</v>
      </c>
      <c r="K68" s="442" t="s">
        <v>1191</v>
      </c>
      <c r="L68" s="623">
        <v>33138</v>
      </c>
      <c r="M68" s="586">
        <f t="shared" ca="1" si="0"/>
        <v>35</v>
      </c>
      <c r="N68" s="442"/>
      <c r="O68" s="622">
        <v>3128900398</v>
      </c>
      <c r="P68" s="622" t="s">
        <v>384</v>
      </c>
      <c r="Q68" s="442" t="s">
        <v>1613</v>
      </c>
      <c r="R68" s="188" t="s">
        <v>333</v>
      </c>
      <c r="S68" s="188" t="s">
        <v>663</v>
      </c>
      <c r="T68" s="624">
        <v>2024</v>
      </c>
      <c r="U68" s="587" t="s">
        <v>160</v>
      </c>
      <c r="V68" s="625" t="s">
        <v>210</v>
      </c>
    </row>
    <row r="69" spans="4:22">
      <c r="D69" s="582"/>
      <c r="E69" s="582">
        <v>3</v>
      </c>
      <c r="F69" s="442" t="s">
        <v>1562</v>
      </c>
      <c r="G69" s="442" t="s">
        <v>151</v>
      </c>
      <c r="H69" s="621" t="s">
        <v>377</v>
      </c>
      <c r="I69" s="622" t="s">
        <v>385</v>
      </c>
      <c r="J69" s="622">
        <v>43733472</v>
      </c>
      <c r="K69" s="442" t="s">
        <v>1191</v>
      </c>
      <c r="L69" s="623">
        <v>26290</v>
      </c>
      <c r="M69" s="443">
        <f t="shared" ref="M69:M94" ca="1" si="1">DATEDIF(L69,TODAY(),"Y")</f>
        <v>54</v>
      </c>
      <c r="N69" s="442"/>
      <c r="O69" s="622">
        <v>3215040299</v>
      </c>
      <c r="P69" s="622"/>
      <c r="Q69" s="442" t="s">
        <v>1613</v>
      </c>
      <c r="R69" s="188" t="s">
        <v>333</v>
      </c>
      <c r="S69" s="188" t="s">
        <v>663</v>
      </c>
      <c r="T69" s="624">
        <v>2024</v>
      </c>
      <c r="U69" s="587" t="s">
        <v>160</v>
      </c>
      <c r="V69" s="625" t="s">
        <v>210</v>
      </c>
    </row>
    <row r="70" spans="4:22">
      <c r="D70" s="582"/>
      <c r="E70" s="585">
        <v>3</v>
      </c>
      <c r="F70" s="663" t="s">
        <v>1562</v>
      </c>
      <c r="G70" s="663" t="s">
        <v>151</v>
      </c>
      <c r="H70" s="621" t="s">
        <v>377</v>
      </c>
      <c r="I70" s="622" t="s">
        <v>388</v>
      </c>
      <c r="J70" s="622">
        <v>1039682527</v>
      </c>
      <c r="K70" s="442" t="s">
        <v>1187</v>
      </c>
      <c r="L70" s="623">
        <v>38625</v>
      </c>
      <c r="M70" s="586">
        <f t="shared" ca="1" si="1"/>
        <v>20</v>
      </c>
      <c r="N70" s="442"/>
      <c r="O70" s="622">
        <v>3157729646</v>
      </c>
      <c r="P70" s="622" t="s">
        <v>389</v>
      </c>
      <c r="Q70" s="442" t="s">
        <v>1613</v>
      </c>
      <c r="R70" s="188"/>
      <c r="S70" s="188" t="s">
        <v>461</v>
      </c>
      <c r="T70" s="624">
        <v>2024</v>
      </c>
      <c r="U70" s="587" t="s">
        <v>160</v>
      </c>
      <c r="V70" s="625" t="s">
        <v>210</v>
      </c>
    </row>
    <row r="71" spans="4:22">
      <c r="D71" s="753" t="s">
        <v>2290</v>
      </c>
      <c r="E71" s="762">
        <v>3</v>
      </c>
      <c r="F71" s="763" t="s">
        <v>1562</v>
      </c>
      <c r="G71" s="763" t="s">
        <v>151</v>
      </c>
      <c r="H71" s="14" t="s">
        <v>390</v>
      </c>
      <c r="I71" s="780" t="s">
        <v>2183</v>
      </c>
      <c r="J71" s="780">
        <v>1037618062</v>
      </c>
      <c r="K71" s="763" t="s">
        <v>1187</v>
      </c>
      <c r="L71" s="781">
        <v>33620</v>
      </c>
      <c r="M71" s="766">
        <f t="shared" ca="1" si="1"/>
        <v>34</v>
      </c>
      <c r="N71" s="763"/>
      <c r="O71" s="780">
        <v>3012088280</v>
      </c>
      <c r="P71" s="780" t="s">
        <v>392</v>
      </c>
      <c r="Q71" s="774" t="s">
        <v>1620</v>
      </c>
      <c r="R71" s="754" t="s">
        <v>1585</v>
      </c>
      <c r="S71" s="754" t="s">
        <v>193</v>
      </c>
      <c r="T71" s="50">
        <v>2024</v>
      </c>
      <c r="U71" s="779" t="s">
        <v>166</v>
      </c>
      <c r="V71" s="782" t="s">
        <v>210</v>
      </c>
    </row>
    <row r="72" spans="4:22">
      <c r="D72" s="588"/>
      <c r="E72" s="590">
        <v>3</v>
      </c>
      <c r="F72" s="592" t="s">
        <v>1562</v>
      </c>
      <c r="G72" s="592" t="s">
        <v>151</v>
      </c>
      <c r="H72" s="631" t="s">
        <v>390</v>
      </c>
      <c r="I72" s="634" t="s">
        <v>394</v>
      </c>
      <c r="J72" s="634"/>
      <c r="K72" s="136" t="s">
        <v>1187</v>
      </c>
      <c r="L72" s="633">
        <v>34528</v>
      </c>
      <c r="M72" s="591">
        <f t="shared" ca="1" si="1"/>
        <v>31</v>
      </c>
      <c r="N72" s="136"/>
      <c r="O72" s="634">
        <v>3046586707</v>
      </c>
      <c r="P72" s="634" t="s">
        <v>395</v>
      </c>
      <c r="Q72" s="592" t="s">
        <v>1620</v>
      </c>
      <c r="R72" s="202" t="s">
        <v>164</v>
      </c>
      <c r="S72" s="202" t="s">
        <v>663</v>
      </c>
      <c r="T72" s="635">
        <v>2024</v>
      </c>
      <c r="U72" s="593" t="s">
        <v>160</v>
      </c>
      <c r="V72" s="662" t="s">
        <v>210</v>
      </c>
    </row>
    <row r="73" spans="4:22">
      <c r="D73" s="588"/>
      <c r="E73" s="588">
        <v>3</v>
      </c>
      <c r="F73" s="136" t="s">
        <v>1562</v>
      </c>
      <c r="G73" s="136" t="s">
        <v>151</v>
      </c>
      <c r="H73" s="631" t="s">
        <v>390</v>
      </c>
      <c r="I73" s="634" t="s">
        <v>397</v>
      </c>
      <c r="J73" s="634">
        <v>1023626000</v>
      </c>
      <c r="K73" s="136" t="s">
        <v>1191</v>
      </c>
      <c r="L73" s="633">
        <v>38439</v>
      </c>
      <c r="M73" s="482">
        <f t="shared" ca="1" si="1"/>
        <v>21</v>
      </c>
      <c r="N73" s="136"/>
      <c r="O73" s="634">
        <v>3007706547</v>
      </c>
      <c r="P73" s="634" t="s">
        <v>398</v>
      </c>
      <c r="Q73" s="592" t="s">
        <v>1620</v>
      </c>
      <c r="R73" s="202" t="s">
        <v>192</v>
      </c>
      <c r="S73" s="202" t="s">
        <v>230</v>
      </c>
      <c r="T73" s="635">
        <v>2024</v>
      </c>
      <c r="U73" s="593" t="s">
        <v>160</v>
      </c>
      <c r="V73" s="662" t="s">
        <v>210</v>
      </c>
    </row>
    <row r="74" spans="4:22">
      <c r="D74" s="588"/>
      <c r="E74" s="590">
        <v>3</v>
      </c>
      <c r="F74" s="592" t="s">
        <v>1562</v>
      </c>
      <c r="G74" s="592" t="s">
        <v>151</v>
      </c>
      <c r="H74" s="631" t="s">
        <v>390</v>
      </c>
      <c r="I74" s="634" t="s">
        <v>399</v>
      </c>
      <c r="J74" s="634">
        <v>1017159238</v>
      </c>
      <c r="K74" s="136" t="s">
        <v>1191</v>
      </c>
      <c r="L74" s="633">
        <v>32039</v>
      </c>
      <c r="M74" s="591">
        <f t="shared" ca="1" si="1"/>
        <v>38</v>
      </c>
      <c r="N74" s="136"/>
      <c r="O74" s="634">
        <v>3218081052</v>
      </c>
      <c r="P74" s="634" t="s">
        <v>400</v>
      </c>
      <c r="Q74" s="592" t="s">
        <v>1620</v>
      </c>
      <c r="R74" s="202" t="s">
        <v>164</v>
      </c>
      <c r="S74" s="202" t="s">
        <v>230</v>
      </c>
      <c r="T74" s="635">
        <v>2024</v>
      </c>
      <c r="U74" s="593" t="s">
        <v>160</v>
      </c>
      <c r="V74" s="662" t="s">
        <v>210</v>
      </c>
    </row>
    <row r="75" spans="4:22">
      <c r="D75" s="588"/>
      <c r="E75" s="588">
        <v>3</v>
      </c>
      <c r="F75" s="136" t="s">
        <v>1562</v>
      </c>
      <c r="G75" s="136" t="s">
        <v>151</v>
      </c>
      <c r="H75" s="631" t="s">
        <v>390</v>
      </c>
      <c r="I75" s="634" t="s">
        <v>401</v>
      </c>
      <c r="J75" s="634">
        <v>1035231882</v>
      </c>
      <c r="K75" s="136" t="s">
        <v>1191</v>
      </c>
      <c r="L75" s="633">
        <v>35104</v>
      </c>
      <c r="M75" s="482">
        <f t="shared" ca="1" si="1"/>
        <v>30</v>
      </c>
      <c r="N75" s="136"/>
      <c r="O75" s="634">
        <v>3043138690</v>
      </c>
      <c r="P75" s="634" t="s">
        <v>402</v>
      </c>
      <c r="Q75" s="592" t="s">
        <v>1620</v>
      </c>
      <c r="R75" s="202" t="s">
        <v>164</v>
      </c>
      <c r="S75" s="202" t="s">
        <v>663</v>
      </c>
      <c r="T75" s="635">
        <v>2024</v>
      </c>
      <c r="U75" s="593" t="s">
        <v>160</v>
      </c>
      <c r="V75" s="662" t="s">
        <v>210</v>
      </c>
    </row>
    <row r="76" spans="4:22">
      <c r="D76" s="588"/>
      <c r="E76" s="590">
        <v>3</v>
      </c>
      <c r="F76" s="592" t="s">
        <v>1562</v>
      </c>
      <c r="G76" s="592" t="s">
        <v>151</v>
      </c>
      <c r="H76" s="631" t="s">
        <v>390</v>
      </c>
      <c r="I76" s="634" t="s">
        <v>403</v>
      </c>
      <c r="J76" s="634">
        <v>1028002216</v>
      </c>
      <c r="K76" s="136" t="s">
        <v>1191</v>
      </c>
      <c r="L76" s="633">
        <v>33635</v>
      </c>
      <c r="M76" s="591">
        <f t="shared" ca="1" si="1"/>
        <v>34</v>
      </c>
      <c r="N76" s="136"/>
      <c r="O76" s="634">
        <v>3217267968</v>
      </c>
      <c r="P76" s="634" t="s">
        <v>404</v>
      </c>
      <c r="Q76" s="592" t="s">
        <v>1620</v>
      </c>
      <c r="R76" s="202"/>
      <c r="S76" s="202" t="s">
        <v>405</v>
      </c>
      <c r="T76" s="635">
        <v>2024</v>
      </c>
      <c r="U76" s="593" t="s">
        <v>160</v>
      </c>
      <c r="V76" s="662" t="s">
        <v>210</v>
      </c>
    </row>
    <row r="77" spans="4:22">
      <c r="D77" s="753" t="s">
        <v>2289</v>
      </c>
      <c r="E77" s="762">
        <v>3</v>
      </c>
      <c r="F77" s="763" t="s">
        <v>1562</v>
      </c>
      <c r="G77" s="763" t="s">
        <v>129</v>
      </c>
      <c r="H77" s="14" t="s">
        <v>393</v>
      </c>
      <c r="I77" s="49" t="s">
        <v>406</v>
      </c>
      <c r="J77" s="49">
        <v>1000766099</v>
      </c>
      <c r="K77" s="763" t="s">
        <v>1191</v>
      </c>
      <c r="L77" s="781">
        <v>33904</v>
      </c>
      <c r="M77" s="766">
        <f t="shared" ca="1" si="1"/>
        <v>33</v>
      </c>
      <c r="N77" s="763"/>
      <c r="O77" s="49">
        <v>3206241233</v>
      </c>
      <c r="P77" s="784" t="s">
        <v>407</v>
      </c>
      <c r="Q77" s="774" t="s">
        <v>1620</v>
      </c>
      <c r="R77" s="754" t="s">
        <v>1585</v>
      </c>
      <c r="S77" s="754" t="s">
        <v>230</v>
      </c>
      <c r="T77" s="50">
        <v>2024</v>
      </c>
      <c r="U77" s="779" t="s">
        <v>166</v>
      </c>
      <c r="V77" s="782" t="s">
        <v>210</v>
      </c>
    </row>
    <row r="78" spans="4:22">
      <c r="D78" s="567"/>
      <c r="E78" s="568">
        <v>3</v>
      </c>
      <c r="F78" s="564" t="s">
        <v>1562</v>
      </c>
      <c r="G78" s="438" t="s">
        <v>129</v>
      </c>
      <c r="H78" s="601" t="s">
        <v>393</v>
      </c>
      <c r="I78" s="596" t="s">
        <v>409</v>
      </c>
      <c r="J78" s="596">
        <v>1001686709</v>
      </c>
      <c r="K78" s="438" t="s">
        <v>1187</v>
      </c>
      <c r="L78" s="597">
        <v>37321</v>
      </c>
      <c r="M78" s="563">
        <f t="shared" ca="1" si="1"/>
        <v>24</v>
      </c>
      <c r="N78" s="438"/>
      <c r="O78" s="596">
        <v>3002112961</v>
      </c>
      <c r="P78" s="598" t="s">
        <v>410</v>
      </c>
      <c r="Q78" s="564" t="s">
        <v>1620</v>
      </c>
      <c r="R78" s="203" t="s">
        <v>164</v>
      </c>
      <c r="S78" s="203" t="s">
        <v>663</v>
      </c>
      <c r="T78" s="604">
        <v>2024</v>
      </c>
      <c r="U78" s="565" t="s">
        <v>160</v>
      </c>
      <c r="V78" s="661" t="s">
        <v>210</v>
      </c>
    </row>
    <row r="79" spans="4:22">
      <c r="D79" s="567"/>
      <c r="E79" s="567">
        <v>3</v>
      </c>
      <c r="F79" s="438" t="s">
        <v>1562</v>
      </c>
      <c r="G79" s="438" t="s">
        <v>129</v>
      </c>
      <c r="H79" s="601" t="s">
        <v>393</v>
      </c>
      <c r="I79" s="596" t="s">
        <v>411</v>
      </c>
      <c r="J79" s="596">
        <v>42774030</v>
      </c>
      <c r="K79" s="438" t="s">
        <v>1191</v>
      </c>
      <c r="L79" s="597">
        <v>24424</v>
      </c>
      <c r="M79" s="439">
        <f t="shared" ca="1" si="1"/>
        <v>59</v>
      </c>
      <c r="N79" s="438"/>
      <c r="O79" s="596">
        <v>3197401124</v>
      </c>
      <c r="P79" s="596"/>
      <c r="Q79" s="564" t="s">
        <v>1620</v>
      </c>
      <c r="R79" s="203" t="s">
        <v>891</v>
      </c>
      <c r="S79" s="203" t="s">
        <v>663</v>
      </c>
      <c r="T79" s="604">
        <v>2024</v>
      </c>
      <c r="U79" s="565" t="s">
        <v>160</v>
      </c>
      <c r="V79" s="661" t="s">
        <v>210</v>
      </c>
    </row>
    <row r="80" spans="4:22">
      <c r="D80" s="567"/>
      <c r="E80" s="568">
        <v>3</v>
      </c>
      <c r="F80" s="564" t="s">
        <v>1562</v>
      </c>
      <c r="G80" s="438" t="s">
        <v>129</v>
      </c>
      <c r="H80" s="601" t="s">
        <v>393</v>
      </c>
      <c r="I80" s="596" t="s">
        <v>412</v>
      </c>
      <c r="J80" s="644">
        <v>1000635559</v>
      </c>
      <c r="K80" s="438" t="s">
        <v>1191</v>
      </c>
      <c r="L80" s="597">
        <v>37309</v>
      </c>
      <c r="M80" s="563">
        <f t="shared" ca="1" si="1"/>
        <v>24</v>
      </c>
      <c r="N80" s="438"/>
      <c r="O80" s="596">
        <v>3017747751</v>
      </c>
      <c r="P80" s="598" t="s">
        <v>413</v>
      </c>
      <c r="Q80" s="564" t="s">
        <v>1620</v>
      </c>
      <c r="R80" s="203" t="s">
        <v>891</v>
      </c>
      <c r="S80" s="203" t="s">
        <v>663</v>
      </c>
      <c r="T80" s="604">
        <v>2024</v>
      </c>
      <c r="U80" s="565" t="s">
        <v>160</v>
      </c>
      <c r="V80" s="661" t="s">
        <v>210</v>
      </c>
    </row>
    <row r="81" spans="4:22">
      <c r="D81" s="567"/>
      <c r="E81" s="567">
        <v>3</v>
      </c>
      <c r="F81" s="438" t="s">
        <v>1562</v>
      </c>
      <c r="G81" s="438" t="s">
        <v>129</v>
      </c>
      <c r="H81" s="601" t="s">
        <v>393</v>
      </c>
      <c r="I81" s="600" t="s">
        <v>414</v>
      </c>
      <c r="J81" s="645">
        <v>1128394569</v>
      </c>
      <c r="K81" s="438" t="s">
        <v>1191</v>
      </c>
      <c r="L81" s="646">
        <v>32652</v>
      </c>
      <c r="M81" s="439">
        <f t="shared" ca="1" si="1"/>
        <v>36</v>
      </c>
      <c r="N81" s="438"/>
      <c r="O81" s="644">
        <v>3116401142</v>
      </c>
      <c r="P81" s="598" t="s">
        <v>415</v>
      </c>
      <c r="Q81" s="564" t="s">
        <v>1620</v>
      </c>
      <c r="R81" s="203" t="s">
        <v>891</v>
      </c>
      <c r="S81" s="203" t="s">
        <v>193</v>
      </c>
      <c r="T81" s="604">
        <v>2024</v>
      </c>
      <c r="U81" s="565" t="s">
        <v>160</v>
      </c>
      <c r="V81" s="661" t="s">
        <v>210</v>
      </c>
    </row>
    <row r="82" spans="4:22">
      <c r="D82" s="567"/>
      <c r="E82" s="568">
        <v>3</v>
      </c>
      <c r="F82" s="564" t="s">
        <v>1562</v>
      </c>
      <c r="G82" s="438" t="s">
        <v>129</v>
      </c>
      <c r="H82" s="601" t="s">
        <v>393</v>
      </c>
      <c r="I82" s="600" t="s">
        <v>416</v>
      </c>
      <c r="J82" s="645">
        <v>1001028424</v>
      </c>
      <c r="K82" s="438" t="s">
        <v>1187</v>
      </c>
      <c r="L82" s="647">
        <v>37423</v>
      </c>
      <c r="M82" s="563">
        <f t="shared" ca="1" si="1"/>
        <v>23</v>
      </c>
      <c r="N82" s="438"/>
      <c r="O82" s="603">
        <v>3212778345</v>
      </c>
      <c r="P82" s="596"/>
      <c r="Q82" s="564" t="s">
        <v>1620</v>
      </c>
      <c r="R82" s="203" t="s">
        <v>333</v>
      </c>
      <c r="S82" s="203" t="s">
        <v>663</v>
      </c>
      <c r="T82" s="604">
        <v>2024</v>
      </c>
      <c r="U82" s="565" t="s">
        <v>160</v>
      </c>
      <c r="V82" s="661" t="s">
        <v>210</v>
      </c>
    </row>
    <row r="83" spans="4:22">
      <c r="D83" s="753" t="s">
        <v>2290</v>
      </c>
      <c r="E83" s="762">
        <v>3</v>
      </c>
      <c r="F83" s="763" t="s">
        <v>1562</v>
      </c>
      <c r="G83" s="763" t="s">
        <v>151</v>
      </c>
      <c r="H83" s="88" t="s">
        <v>313</v>
      </c>
      <c r="I83" s="787" t="s">
        <v>314</v>
      </c>
      <c r="J83" s="787">
        <v>43632694</v>
      </c>
      <c r="K83" s="763" t="s">
        <v>1191</v>
      </c>
      <c r="L83" s="788">
        <v>27779</v>
      </c>
      <c r="M83" s="766">
        <f t="shared" ca="1" si="1"/>
        <v>50</v>
      </c>
      <c r="N83" s="763" t="s">
        <v>56</v>
      </c>
      <c r="O83" s="787">
        <v>3104651084</v>
      </c>
      <c r="P83" s="798" t="s">
        <v>315</v>
      </c>
      <c r="Q83" s="763" t="s">
        <v>2184</v>
      </c>
      <c r="R83" s="754" t="s">
        <v>333</v>
      </c>
      <c r="S83" s="754" t="s">
        <v>663</v>
      </c>
      <c r="T83" s="94">
        <v>2024</v>
      </c>
      <c r="U83" s="779" t="s">
        <v>166</v>
      </c>
      <c r="V83" s="782" t="s">
        <v>210</v>
      </c>
    </row>
    <row r="84" spans="4:22">
      <c r="D84" s="576"/>
      <c r="E84" s="577">
        <v>3</v>
      </c>
      <c r="F84" s="581" t="s">
        <v>1562</v>
      </c>
      <c r="G84" s="581" t="s">
        <v>151</v>
      </c>
      <c r="H84" s="613" t="s">
        <v>313</v>
      </c>
      <c r="I84" s="617" t="s">
        <v>317</v>
      </c>
      <c r="J84" s="617">
        <v>1032012958</v>
      </c>
      <c r="K84" s="440" t="s">
        <v>1191</v>
      </c>
      <c r="L84" s="615">
        <v>39153</v>
      </c>
      <c r="M84" s="578">
        <f t="shared" ca="1" si="1"/>
        <v>19</v>
      </c>
      <c r="N84" s="440"/>
      <c r="O84" s="617">
        <v>3242626585</v>
      </c>
      <c r="P84" s="617" t="s">
        <v>318</v>
      </c>
      <c r="Q84" s="440" t="s">
        <v>1619</v>
      </c>
      <c r="R84" s="204" t="s">
        <v>192</v>
      </c>
      <c r="S84" s="204" t="s">
        <v>193</v>
      </c>
      <c r="T84" s="618">
        <v>2024</v>
      </c>
      <c r="U84" s="579" t="s">
        <v>160</v>
      </c>
      <c r="V84" s="660" t="s">
        <v>210</v>
      </c>
    </row>
    <row r="85" spans="4:22">
      <c r="D85" s="576"/>
      <c r="E85" s="576">
        <v>3</v>
      </c>
      <c r="F85" s="440" t="s">
        <v>1562</v>
      </c>
      <c r="G85" s="440" t="s">
        <v>151</v>
      </c>
      <c r="H85" s="607" t="s">
        <v>313</v>
      </c>
      <c r="I85" s="611" t="s">
        <v>319</v>
      </c>
      <c r="J85" s="611">
        <v>1011394487</v>
      </c>
      <c r="K85" s="440" t="s">
        <v>1187</v>
      </c>
      <c r="L85" s="609">
        <v>38832</v>
      </c>
      <c r="M85" s="441">
        <f t="shared" ca="1" si="1"/>
        <v>20</v>
      </c>
      <c r="N85" s="440" t="s">
        <v>114</v>
      </c>
      <c r="O85" s="611">
        <v>3002365103</v>
      </c>
      <c r="P85" s="611" t="s">
        <v>320</v>
      </c>
      <c r="Q85" s="440" t="s">
        <v>1618</v>
      </c>
      <c r="R85" s="204" t="s">
        <v>321</v>
      </c>
      <c r="S85" s="204" t="s">
        <v>218</v>
      </c>
      <c r="T85" s="612">
        <v>2024</v>
      </c>
      <c r="U85" s="579" t="s">
        <v>160</v>
      </c>
      <c r="V85" s="660" t="s">
        <v>210</v>
      </c>
    </row>
    <row r="86" spans="4:22">
      <c r="D86" s="576"/>
      <c r="E86" s="577">
        <v>3</v>
      </c>
      <c r="F86" s="581" t="s">
        <v>1562</v>
      </c>
      <c r="G86" s="581" t="s">
        <v>151</v>
      </c>
      <c r="H86" s="613" t="s">
        <v>313</v>
      </c>
      <c r="I86" s="617" t="s">
        <v>322</v>
      </c>
      <c r="J86" s="617">
        <v>1048045686</v>
      </c>
      <c r="K86" s="440" t="s">
        <v>1191</v>
      </c>
      <c r="L86" s="615">
        <v>33692</v>
      </c>
      <c r="M86" s="578">
        <f t="shared" ca="1" si="1"/>
        <v>34</v>
      </c>
      <c r="N86" s="440"/>
      <c r="O86" s="617">
        <v>3245073998</v>
      </c>
      <c r="P86" s="617" t="s">
        <v>323</v>
      </c>
      <c r="Q86" s="440" t="s">
        <v>2185</v>
      </c>
      <c r="R86" s="204" t="s">
        <v>891</v>
      </c>
      <c r="S86" s="204" t="s">
        <v>461</v>
      </c>
      <c r="T86" s="618">
        <v>2024</v>
      </c>
      <c r="U86" s="579" t="s">
        <v>160</v>
      </c>
      <c r="V86" s="660" t="s">
        <v>210</v>
      </c>
    </row>
    <row r="87" spans="4:22">
      <c r="D87" s="576"/>
      <c r="E87" s="576">
        <v>3</v>
      </c>
      <c r="F87" s="440" t="s">
        <v>1562</v>
      </c>
      <c r="G87" s="440" t="s">
        <v>151</v>
      </c>
      <c r="H87" s="607" t="s">
        <v>313</v>
      </c>
      <c r="I87" s="611" t="s">
        <v>324</v>
      </c>
      <c r="J87" s="611">
        <v>1013343723</v>
      </c>
      <c r="K87" s="440" t="s">
        <v>1187</v>
      </c>
      <c r="L87" s="609">
        <v>38728</v>
      </c>
      <c r="M87" s="441">
        <f t="shared" ca="1" si="1"/>
        <v>20</v>
      </c>
      <c r="N87" s="440" t="s">
        <v>56</v>
      </c>
      <c r="O87" s="611">
        <v>3019501231</v>
      </c>
      <c r="P87" s="611" t="s">
        <v>325</v>
      </c>
      <c r="Q87" s="440" t="s">
        <v>1618</v>
      </c>
      <c r="R87" s="204" t="s">
        <v>192</v>
      </c>
      <c r="S87" s="204" t="s">
        <v>218</v>
      </c>
      <c r="T87" s="612">
        <v>2024</v>
      </c>
      <c r="U87" s="579" t="s">
        <v>160</v>
      </c>
      <c r="V87" s="660" t="s">
        <v>210</v>
      </c>
    </row>
    <row r="88" spans="4:22">
      <c r="D88" s="577"/>
      <c r="E88" s="577">
        <v>3</v>
      </c>
      <c r="F88" s="581" t="s">
        <v>1562</v>
      </c>
      <c r="G88" s="581" t="s">
        <v>151</v>
      </c>
      <c r="H88" s="804" t="s">
        <v>313</v>
      </c>
      <c r="I88" s="805" t="s">
        <v>326</v>
      </c>
      <c r="J88" s="805">
        <v>1214715068</v>
      </c>
      <c r="K88" s="440" t="s">
        <v>1187</v>
      </c>
      <c r="L88" s="806">
        <v>33622</v>
      </c>
      <c r="M88" s="578">
        <f t="shared" ca="1" si="1"/>
        <v>34</v>
      </c>
      <c r="N88" s="440"/>
      <c r="O88" s="805">
        <v>3017434359</v>
      </c>
      <c r="P88" s="805" t="s">
        <v>327</v>
      </c>
      <c r="Q88" s="440" t="s">
        <v>1619</v>
      </c>
      <c r="R88" s="204" t="s">
        <v>321</v>
      </c>
      <c r="S88" s="204" t="s">
        <v>230</v>
      </c>
      <c r="T88" s="807">
        <v>2024</v>
      </c>
      <c r="U88" s="579" t="s">
        <v>160</v>
      </c>
      <c r="V88" s="797" t="s">
        <v>188</v>
      </c>
    </row>
    <row r="89" spans="4:22">
      <c r="D89" s="753" t="s">
        <v>2290</v>
      </c>
      <c r="E89" s="762">
        <v>3</v>
      </c>
      <c r="F89" s="763" t="s">
        <v>1562</v>
      </c>
      <c r="G89" s="763" t="s">
        <v>151</v>
      </c>
      <c r="H89" s="75" t="s">
        <v>182</v>
      </c>
      <c r="I89" s="799" t="s">
        <v>183</v>
      </c>
      <c r="J89" s="799">
        <v>1000192667</v>
      </c>
      <c r="K89" s="763" t="s">
        <v>1187</v>
      </c>
      <c r="L89" s="800">
        <v>35400</v>
      </c>
      <c r="M89" s="766">
        <f t="shared" ca="1" si="1"/>
        <v>29</v>
      </c>
      <c r="N89" s="763"/>
      <c r="O89" s="799">
        <v>3208429155</v>
      </c>
      <c r="P89" s="799" t="s">
        <v>184</v>
      </c>
      <c r="Q89" s="774" t="s">
        <v>2182</v>
      </c>
      <c r="R89" s="754" t="s">
        <v>1585</v>
      </c>
      <c r="S89" s="754" t="s">
        <v>663</v>
      </c>
      <c r="T89" s="81">
        <v>2024</v>
      </c>
      <c r="U89" s="779" t="s">
        <v>166</v>
      </c>
      <c r="V89" s="797" t="s">
        <v>188</v>
      </c>
    </row>
    <row r="90" spans="4:22">
      <c r="D90" s="658"/>
      <c r="E90" s="658">
        <v>3</v>
      </c>
      <c r="F90" s="654" t="s">
        <v>1562</v>
      </c>
      <c r="G90" s="654" t="s">
        <v>151</v>
      </c>
      <c r="H90" s="650" t="s">
        <v>182</v>
      </c>
      <c r="I90" s="651" t="s">
        <v>189</v>
      </c>
      <c r="J90" s="651">
        <v>1032011816</v>
      </c>
      <c r="K90" s="649" t="s">
        <v>1187</v>
      </c>
      <c r="L90" s="652">
        <v>38793</v>
      </c>
      <c r="M90" s="659">
        <f t="shared" ca="1" si="1"/>
        <v>20</v>
      </c>
      <c r="N90" s="649"/>
      <c r="O90" s="651">
        <v>3167954340</v>
      </c>
      <c r="P90" s="651" t="s">
        <v>191</v>
      </c>
      <c r="Q90" s="654" t="s">
        <v>2181</v>
      </c>
      <c r="R90" s="655" t="s">
        <v>192</v>
      </c>
      <c r="S90" s="655" t="s">
        <v>193</v>
      </c>
      <c r="T90" s="656">
        <v>2024</v>
      </c>
      <c r="U90" s="657" t="s">
        <v>160</v>
      </c>
      <c r="V90" s="797" t="s">
        <v>188</v>
      </c>
    </row>
    <row r="91" spans="4:22">
      <c r="D91" s="648"/>
      <c r="E91" s="648">
        <v>3</v>
      </c>
      <c r="F91" s="649" t="s">
        <v>1562</v>
      </c>
      <c r="G91" s="649" t="s">
        <v>151</v>
      </c>
      <c r="H91" s="650" t="s">
        <v>182</v>
      </c>
      <c r="I91" s="651" t="s">
        <v>194</v>
      </c>
      <c r="J91" s="651">
        <v>21401595</v>
      </c>
      <c r="K91" s="649" t="s">
        <v>1191</v>
      </c>
      <c r="L91" s="652">
        <v>19531</v>
      </c>
      <c r="M91" s="653">
        <f t="shared" ca="1" si="1"/>
        <v>72</v>
      </c>
      <c r="N91" s="649"/>
      <c r="O91" s="651">
        <v>3006282473</v>
      </c>
      <c r="P91" s="651" t="s">
        <v>196</v>
      </c>
      <c r="Q91" s="654" t="s">
        <v>1623</v>
      </c>
      <c r="R91" s="655" t="s">
        <v>891</v>
      </c>
      <c r="S91" s="655" t="s">
        <v>461</v>
      </c>
      <c r="T91" s="656">
        <v>2024</v>
      </c>
      <c r="U91" s="657" t="s">
        <v>160</v>
      </c>
      <c r="V91" s="797" t="s">
        <v>188</v>
      </c>
    </row>
    <row r="92" spans="4:22">
      <c r="D92" s="658"/>
      <c r="E92" s="658">
        <v>3</v>
      </c>
      <c r="F92" s="654" t="s">
        <v>1562</v>
      </c>
      <c r="G92" s="654" t="s">
        <v>151</v>
      </c>
      <c r="H92" s="650" t="s">
        <v>182</v>
      </c>
      <c r="I92" s="651" t="s">
        <v>198</v>
      </c>
      <c r="J92" s="651">
        <v>43115563</v>
      </c>
      <c r="K92" s="649" t="s">
        <v>1191</v>
      </c>
      <c r="L92" s="652">
        <v>28946</v>
      </c>
      <c r="M92" s="659">
        <f t="shared" ca="1" si="1"/>
        <v>47</v>
      </c>
      <c r="N92" s="649"/>
      <c r="O92" s="651">
        <v>3122218691</v>
      </c>
      <c r="P92" s="651" t="s">
        <v>196</v>
      </c>
      <c r="Q92" s="654" t="s">
        <v>1622</v>
      </c>
      <c r="R92" s="655" t="s">
        <v>891</v>
      </c>
      <c r="S92" s="655" t="s">
        <v>663</v>
      </c>
      <c r="T92" s="656">
        <v>2024</v>
      </c>
      <c r="U92" s="657" t="s">
        <v>160</v>
      </c>
      <c r="V92" s="797" t="s">
        <v>188</v>
      </c>
    </row>
    <row r="93" spans="4:22">
      <c r="D93" s="648"/>
      <c r="E93" s="648">
        <v>3</v>
      </c>
      <c r="F93" s="649" t="s">
        <v>1562</v>
      </c>
      <c r="G93" s="649" t="s">
        <v>151</v>
      </c>
      <c r="H93" s="650" t="s">
        <v>182</v>
      </c>
      <c r="I93" s="651" t="s">
        <v>199</v>
      </c>
      <c r="J93" s="651">
        <v>8101225</v>
      </c>
      <c r="K93" s="649" t="s">
        <v>1187</v>
      </c>
      <c r="L93" s="652">
        <v>30662</v>
      </c>
      <c r="M93" s="653">
        <f t="shared" ca="1" si="1"/>
        <v>42</v>
      </c>
      <c r="N93" s="649"/>
      <c r="O93" s="651">
        <v>3006147974</v>
      </c>
      <c r="P93" s="651" t="s">
        <v>200</v>
      </c>
      <c r="Q93" s="654" t="s">
        <v>2186</v>
      </c>
      <c r="R93" s="655" t="s">
        <v>1585</v>
      </c>
      <c r="S93" s="655" t="s">
        <v>663</v>
      </c>
      <c r="T93" s="656">
        <v>2024</v>
      </c>
      <c r="U93" s="657" t="s">
        <v>160</v>
      </c>
      <c r="V93" s="797" t="s">
        <v>188</v>
      </c>
    </row>
    <row r="94" spans="4:22">
      <c r="D94" s="658"/>
      <c r="E94" s="658">
        <v>3</v>
      </c>
      <c r="F94" s="654" t="s">
        <v>1562</v>
      </c>
      <c r="G94" s="654" t="s">
        <v>151</v>
      </c>
      <c r="H94" s="650" t="s">
        <v>182</v>
      </c>
      <c r="I94" s="651" t="s">
        <v>202</v>
      </c>
      <c r="J94" s="651">
        <v>43589761</v>
      </c>
      <c r="K94" s="649" t="s">
        <v>1191</v>
      </c>
      <c r="L94" s="652">
        <v>27326</v>
      </c>
      <c r="M94" s="659">
        <f t="shared" ca="1" si="1"/>
        <v>51</v>
      </c>
      <c r="N94" s="649"/>
      <c r="O94" s="651">
        <v>3108978512</v>
      </c>
      <c r="P94" s="651" t="s">
        <v>203</v>
      </c>
      <c r="Q94" s="654" t="s">
        <v>1622</v>
      </c>
      <c r="R94" s="655" t="s">
        <v>1585</v>
      </c>
      <c r="S94" s="655" t="s">
        <v>663</v>
      </c>
      <c r="T94" s="656">
        <v>2024</v>
      </c>
      <c r="U94" s="657" t="s">
        <v>160</v>
      </c>
      <c r="V94" s="797" t="s">
        <v>188</v>
      </c>
    </row>
    <row r="101" spans="8:22">
      <c r="I101" s="146"/>
    </row>
    <row r="110" spans="8:22">
      <c r="Q110" s="133"/>
      <c r="R110" s="133"/>
      <c r="S110" s="133"/>
      <c r="T110" s="133"/>
      <c r="U110" s="133"/>
      <c r="V110" s="133"/>
    </row>
    <row r="111" spans="8:22"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</row>
    <row r="114" spans="7:7">
      <c r="G114" s="144"/>
    </row>
  </sheetData>
  <phoneticPr fontId="43" type="noConversion"/>
  <dataValidations count="7">
    <dataValidation type="list" allowBlank="1" showInputMessage="1" showErrorMessage="1" sqref="Q3:Q94" xr:uid="{8192FB34-EED1-4DB5-8185-63E941805BD9}">
      <formula1>$A$21:$A$36</formula1>
    </dataValidation>
    <dataValidation type="list" allowBlank="1" showInputMessage="1" showErrorMessage="1" sqref="K3:K94" xr:uid="{21783F2A-F47F-47B6-AEEC-D05F74A7EFDF}">
      <formula1>$A$4:$A$7</formula1>
    </dataValidation>
    <dataValidation type="list" allowBlank="1" showInputMessage="1" showErrorMessage="1" sqref="N3:N94" xr:uid="{B062FB2E-1A2C-407A-A1DE-A967C5ECCC5E}">
      <formula1>$A$8:$A$17</formula1>
    </dataValidation>
    <dataValidation type="list" allowBlank="1" showInputMessage="1" showErrorMessage="1" sqref="U3:U94" xr:uid="{8FC9012C-8C2F-411D-B95E-D762A5062DAD}">
      <formula1>$A$18:$A$20</formula1>
    </dataValidation>
    <dataValidation type="list" allowBlank="1" showInputMessage="1" showErrorMessage="1" sqref="S3:S94" xr:uid="{5E1B91A9-3D3B-4210-A459-5BED5F40FAD0}">
      <formula1>$B$13:$B$39</formula1>
    </dataValidation>
    <dataValidation type="list" allowBlank="1" showInputMessage="1" showErrorMessage="1" sqref="G3:G113" xr:uid="{5B64C814-D4A1-4D89-976E-AB4A5184A0C9}">
      <formula1>$A$1:$A$3</formula1>
    </dataValidation>
    <dataValidation type="list" allowBlank="1" showInputMessage="1" showErrorMessage="1" sqref="R3:R94" xr:uid="{E4F10085-8160-4201-892F-863F3D3E6A11}">
      <formula1>$B$5:$B$11</formula1>
    </dataValidation>
  </dataValidations>
  <hyperlinks>
    <hyperlink ref="P9" r:id="rId1" xr:uid="{8ADFD1CE-49A7-4658-B473-B3B9B4DEBB11}"/>
    <hyperlink ref="P83" r:id="rId2" xr:uid="{215E0356-C341-4C02-9129-40525A473D18}"/>
    <hyperlink ref="P77" r:id="rId3" xr:uid="{A4A6BBF9-E00E-4884-B760-B68C19084FDC}"/>
    <hyperlink ref="P78" r:id="rId4" xr:uid="{6BF0FC5E-33E6-4175-8F12-A0E573C30578}"/>
    <hyperlink ref="P80" r:id="rId5" xr:uid="{05E5A2A6-5B8D-4FC8-B94D-005058F939B1}"/>
    <hyperlink ref="P81" r:id="rId6" xr:uid="{8AFA61AB-12CF-4292-9624-0EA1EAB72580}"/>
  </hyperlinks>
  <pageMargins left="0.7" right="0.7" top="0.75" bottom="0.75" header="0.3" footer="0.3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1758-B3E1-4E72-B9EF-1DD167738E46}">
  <dimension ref="A2:W127"/>
  <sheetViews>
    <sheetView topLeftCell="H1" zoomScale="64" zoomScaleNormal="70" workbookViewId="0">
      <selection activeCell="E3" sqref="E3:V122"/>
    </sheetView>
  </sheetViews>
  <sheetFormatPr baseColWidth="10" defaultColWidth="11.5546875" defaultRowHeight="14.4"/>
  <cols>
    <col min="1" max="3" width="22.6640625" style="144" customWidth="1"/>
    <col min="4" max="4" width="11.33203125" style="144" customWidth="1"/>
    <col min="5" max="5" width="11.6640625" style="144" bestFit="1" customWidth="1"/>
    <col min="6" max="6" width="17" style="144" customWidth="1"/>
    <col min="7" max="7" width="18.33203125" style="144" customWidth="1"/>
    <col min="8" max="8" width="19.6640625" style="144" bestFit="1" customWidth="1"/>
    <col min="9" max="9" width="36.88671875" style="144" bestFit="1" customWidth="1"/>
    <col min="10" max="10" width="13.33203125" style="144" customWidth="1"/>
    <col min="11" max="11" width="13.109375" style="144" bestFit="1" customWidth="1"/>
    <col min="12" max="12" width="20.5546875" style="145" customWidth="1"/>
    <col min="13" max="13" width="12.109375" style="144" bestFit="1" customWidth="1"/>
    <col min="14" max="14" width="15.33203125" style="144" customWidth="1"/>
    <col min="15" max="15" width="14.109375" style="144" bestFit="1" customWidth="1"/>
    <col min="16" max="16" width="18" style="144" customWidth="1"/>
    <col min="17" max="17" width="20.109375" style="144" bestFit="1" customWidth="1"/>
    <col min="18" max="18" width="19.6640625" style="144" bestFit="1" customWidth="1"/>
    <col min="19" max="19" width="29.33203125" style="144" bestFit="1" customWidth="1"/>
    <col min="20" max="20" width="25.44140625" style="144" customWidth="1"/>
    <col min="21" max="21" width="27.3320312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38" t="s">
        <v>1854</v>
      </c>
      <c r="G2" s="138" t="s">
        <v>1584</v>
      </c>
      <c r="H2" s="138" t="s">
        <v>418</v>
      </c>
      <c r="I2" s="138" t="s">
        <v>1410</v>
      </c>
      <c r="J2" s="138" t="s">
        <v>5</v>
      </c>
      <c r="K2" s="138" t="s">
        <v>6</v>
      </c>
      <c r="L2" s="147" t="s">
        <v>7</v>
      </c>
      <c r="M2" s="138" t="s">
        <v>8</v>
      </c>
      <c r="N2" s="138" t="s">
        <v>9</v>
      </c>
      <c r="O2" s="138" t="s">
        <v>1589</v>
      </c>
      <c r="P2" s="138" t="s">
        <v>11</v>
      </c>
      <c r="Q2" s="138" t="s">
        <v>12</v>
      </c>
      <c r="R2" s="138" t="s">
        <v>14</v>
      </c>
      <c r="S2" s="138" t="s">
        <v>16</v>
      </c>
      <c r="T2" s="138" t="s">
        <v>1590</v>
      </c>
      <c r="U2" s="151" t="s">
        <v>18</v>
      </c>
      <c r="V2" s="553" t="s">
        <v>20</v>
      </c>
    </row>
    <row r="3" spans="1:22">
      <c r="A3" s="144" t="s">
        <v>129</v>
      </c>
      <c r="D3" s="755" t="s">
        <v>2290</v>
      </c>
      <c r="E3" s="755">
        <v>4</v>
      </c>
      <c r="F3" s="755" t="s">
        <v>1563</v>
      </c>
      <c r="G3" s="755" t="s">
        <v>151</v>
      </c>
      <c r="H3" s="755" t="s">
        <v>419</v>
      </c>
      <c r="I3" s="755" t="s">
        <v>420</v>
      </c>
      <c r="J3" s="755">
        <v>43028278</v>
      </c>
      <c r="K3" s="755" t="s">
        <v>1191</v>
      </c>
      <c r="L3" s="765">
        <v>22082</v>
      </c>
      <c r="M3" s="757">
        <f ca="1">DATEDIF(L3,TODAY(),"Y")</f>
        <v>65</v>
      </c>
      <c r="N3" s="755" t="s">
        <v>73</v>
      </c>
      <c r="O3" s="755">
        <v>3147229577</v>
      </c>
      <c r="P3" s="755" t="s">
        <v>421</v>
      </c>
      <c r="Q3" s="755" t="s">
        <v>419</v>
      </c>
      <c r="R3" s="808" t="s">
        <v>321</v>
      </c>
      <c r="S3" s="808" t="s">
        <v>230</v>
      </c>
      <c r="T3" s="755">
        <v>2005</v>
      </c>
      <c r="U3" s="760" t="s">
        <v>166</v>
      </c>
      <c r="V3" s="754" t="s">
        <v>210</v>
      </c>
    </row>
    <row r="4" spans="1:22" hidden="1">
      <c r="D4" s="193"/>
      <c r="E4" s="193">
        <v>4</v>
      </c>
      <c r="F4" s="193" t="s">
        <v>1563</v>
      </c>
      <c r="G4" s="193" t="s">
        <v>151</v>
      </c>
      <c r="H4" s="193" t="s">
        <v>419</v>
      </c>
      <c r="I4" s="193" t="s">
        <v>422</v>
      </c>
      <c r="J4" s="193">
        <v>43553216</v>
      </c>
      <c r="K4" s="193" t="s">
        <v>1191</v>
      </c>
      <c r="L4" s="176">
        <v>25458</v>
      </c>
      <c r="M4" s="194">
        <f ca="1">DATEDIF(L4,TODAY(),"Y")</f>
        <v>56</v>
      </c>
      <c r="N4" s="193" t="s">
        <v>73</v>
      </c>
      <c r="O4" s="193">
        <v>3052646315</v>
      </c>
      <c r="P4" s="193" t="s">
        <v>423</v>
      </c>
      <c r="Q4" s="193" t="s">
        <v>419</v>
      </c>
      <c r="R4" s="175" t="s">
        <v>891</v>
      </c>
      <c r="S4" s="175" t="s">
        <v>663</v>
      </c>
      <c r="T4" s="193">
        <v>2010</v>
      </c>
      <c r="U4" s="220" t="s">
        <v>160</v>
      </c>
      <c r="V4" s="154" t="s">
        <v>210</v>
      </c>
    </row>
    <row r="5" spans="1:22" hidden="1">
      <c r="A5" s="144" t="s">
        <v>1191</v>
      </c>
      <c r="B5" s="144" t="s">
        <v>333</v>
      </c>
      <c r="D5" s="193"/>
      <c r="E5" s="193">
        <v>4</v>
      </c>
      <c r="F5" s="193" t="s">
        <v>1563</v>
      </c>
      <c r="G5" s="193" t="s">
        <v>151</v>
      </c>
      <c r="H5" s="193" t="s">
        <v>419</v>
      </c>
      <c r="I5" s="193" t="s">
        <v>424</v>
      </c>
      <c r="J5" s="193">
        <v>42770251</v>
      </c>
      <c r="K5" s="193" t="s">
        <v>1191</v>
      </c>
      <c r="L5" s="176">
        <v>23823</v>
      </c>
      <c r="M5" s="194">
        <f t="shared" ref="M5:M12" ca="1" si="0">DATEDIF(L5,TODAY(),"Y")</f>
        <v>61</v>
      </c>
      <c r="N5" s="193" t="s">
        <v>73</v>
      </c>
      <c r="O5" s="193">
        <v>3178124829</v>
      </c>
      <c r="P5" s="193" t="s">
        <v>425</v>
      </c>
      <c r="Q5" s="193" t="s">
        <v>419</v>
      </c>
      <c r="R5" s="193" t="s">
        <v>891</v>
      </c>
      <c r="S5" s="175" t="s">
        <v>170</v>
      </c>
      <c r="T5" s="193">
        <v>2009</v>
      </c>
      <c r="U5" s="220" t="s">
        <v>160</v>
      </c>
      <c r="V5" s="154" t="s">
        <v>210</v>
      </c>
    </row>
    <row r="6" spans="1:22" hidden="1">
      <c r="A6" s="144" t="s">
        <v>1187</v>
      </c>
      <c r="B6" s="144" t="s">
        <v>164</v>
      </c>
      <c r="D6" s="193"/>
      <c r="E6" s="193">
        <v>4</v>
      </c>
      <c r="F6" s="193" t="s">
        <v>1563</v>
      </c>
      <c r="G6" s="193" t="s">
        <v>151</v>
      </c>
      <c r="H6" s="193" t="s">
        <v>419</v>
      </c>
      <c r="I6" s="193" t="s">
        <v>426</v>
      </c>
      <c r="J6" s="193">
        <v>43513505</v>
      </c>
      <c r="K6" s="193" t="s">
        <v>1191</v>
      </c>
      <c r="L6" s="176">
        <v>24547</v>
      </c>
      <c r="M6" s="194">
        <f t="shared" ca="1" si="0"/>
        <v>59</v>
      </c>
      <c r="N6" s="193" t="s">
        <v>73</v>
      </c>
      <c r="O6" s="193">
        <v>3196270940</v>
      </c>
      <c r="P6" s="193" t="s">
        <v>427</v>
      </c>
      <c r="Q6" s="193" t="s">
        <v>419</v>
      </c>
      <c r="R6" s="193" t="s">
        <v>333</v>
      </c>
      <c r="S6" s="175" t="s">
        <v>663</v>
      </c>
      <c r="T6" s="193">
        <v>2005</v>
      </c>
      <c r="U6" s="220" t="s">
        <v>160</v>
      </c>
      <c r="V6" s="154" t="s">
        <v>210</v>
      </c>
    </row>
    <row r="7" spans="1:22" hidden="1">
      <c r="A7" s="144" t="s">
        <v>1585</v>
      </c>
      <c r="B7" s="144" t="s">
        <v>321</v>
      </c>
      <c r="D7" s="193"/>
      <c r="E7" s="193">
        <v>4</v>
      </c>
      <c r="F7" s="193" t="s">
        <v>1563</v>
      </c>
      <c r="G7" s="193" t="s">
        <v>151</v>
      </c>
      <c r="H7" s="193" t="s">
        <v>419</v>
      </c>
      <c r="I7" s="193" t="s">
        <v>428</v>
      </c>
      <c r="J7" s="193">
        <v>43428279</v>
      </c>
      <c r="K7" s="193" t="s">
        <v>1191</v>
      </c>
      <c r="L7" s="176">
        <v>23021</v>
      </c>
      <c r="M7" s="194">
        <f t="shared" ca="1" si="0"/>
        <v>63</v>
      </c>
      <c r="N7" s="193" t="s">
        <v>73</v>
      </c>
      <c r="O7" s="193">
        <v>3025304469</v>
      </c>
      <c r="P7" s="193" t="s">
        <v>429</v>
      </c>
      <c r="Q7" s="193" t="s">
        <v>419</v>
      </c>
      <c r="R7" s="193" t="s">
        <v>891</v>
      </c>
      <c r="S7" s="175" t="s">
        <v>230</v>
      </c>
      <c r="T7" s="193">
        <v>2011</v>
      </c>
      <c r="U7" s="220" t="s">
        <v>160</v>
      </c>
      <c r="V7" s="154" t="s">
        <v>210</v>
      </c>
    </row>
    <row r="8" spans="1:22" hidden="1">
      <c r="B8" s="144" t="s">
        <v>192</v>
      </c>
      <c r="D8" s="193"/>
      <c r="E8" s="193">
        <v>4</v>
      </c>
      <c r="F8" s="193" t="s">
        <v>1563</v>
      </c>
      <c r="G8" s="193" t="s">
        <v>151</v>
      </c>
      <c r="H8" s="193" t="s">
        <v>419</v>
      </c>
      <c r="I8" s="193" t="s">
        <v>430</v>
      </c>
      <c r="J8" s="193">
        <v>8061734</v>
      </c>
      <c r="K8" s="193" t="s">
        <v>1187</v>
      </c>
      <c r="L8" s="176">
        <v>29880</v>
      </c>
      <c r="M8" s="194">
        <f t="shared" ca="1" si="0"/>
        <v>44</v>
      </c>
      <c r="N8" s="193" t="s">
        <v>56</v>
      </c>
      <c r="O8" s="193">
        <v>3012015138</v>
      </c>
      <c r="P8" s="193"/>
      <c r="Q8" s="193" t="s">
        <v>419</v>
      </c>
      <c r="R8" s="193"/>
      <c r="S8" s="175"/>
      <c r="T8" s="193"/>
      <c r="U8" s="220" t="s">
        <v>160</v>
      </c>
      <c r="V8" s="154" t="s">
        <v>210</v>
      </c>
    </row>
    <row r="9" spans="1:22" hidden="1">
      <c r="A9" s="144" t="s">
        <v>56</v>
      </c>
      <c r="B9" s="144" t="s">
        <v>876</v>
      </c>
      <c r="D9" s="193"/>
      <c r="E9" s="193">
        <v>4</v>
      </c>
      <c r="F9" s="193" t="s">
        <v>1563</v>
      </c>
      <c r="G9" s="193" t="s">
        <v>151</v>
      </c>
      <c r="H9" s="193" t="s">
        <v>419</v>
      </c>
      <c r="I9" s="193" t="s">
        <v>431</v>
      </c>
      <c r="J9" s="193">
        <v>1028140797</v>
      </c>
      <c r="K9" s="193" t="s">
        <v>1187</v>
      </c>
      <c r="L9" s="176">
        <v>39142</v>
      </c>
      <c r="M9" s="194">
        <f t="shared" ca="1" si="0"/>
        <v>19</v>
      </c>
      <c r="N9" s="193" t="s">
        <v>56</v>
      </c>
      <c r="O9" s="193">
        <v>3143184540</v>
      </c>
      <c r="P9" s="193" t="s">
        <v>432</v>
      </c>
      <c r="Q9" s="193" t="s">
        <v>419</v>
      </c>
      <c r="R9" s="193" t="s">
        <v>192</v>
      </c>
      <c r="S9" s="175" t="s">
        <v>663</v>
      </c>
      <c r="T9" s="193">
        <v>2025</v>
      </c>
      <c r="U9" s="220" t="s">
        <v>160</v>
      </c>
      <c r="V9" s="154" t="s">
        <v>210</v>
      </c>
    </row>
    <row r="10" spans="1:22" hidden="1">
      <c r="A10" s="144" t="s">
        <v>212</v>
      </c>
      <c r="B10" s="144" t="s">
        <v>891</v>
      </c>
      <c r="D10" s="193"/>
      <c r="E10" s="193">
        <v>4</v>
      </c>
      <c r="F10" s="193" t="s">
        <v>1563</v>
      </c>
      <c r="G10" s="193" t="s">
        <v>151</v>
      </c>
      <c r="H10" s="193" t="s">
        <v>419</v>
      </c>
      <c r="I10" s="193" t="s">
        <v>433</v>
      </c>
      <c r="J10" s="193"/>
      <c r="K10" s="193" t="s">
        <v>1187</v>
      </c>
      <c r="L10" s="176"/>
      <c r="M10" s="194"/>
      <c r="N10" s="193"/>
      <c r="O10" s="193"/>
      <c r="P10" s="193"/>
      <c r="Q10" s="193"/>
      <c r="R10" s="193"/>
      <c r="S10" s="175"/>
      <c r="T10" s="193">
        <v>2025</v>
      </c>
      <c r="U10" s="220" t="s">
        <v>160</v>
      </c>
      <c r="V10" s="154" t="s">
        <v>210</v>
      </c>
    </row>
    <row r="11" spans="1:22" hidden="1">
      <c r="A11" s="144" t="s">
        <v>73</v>
      </c>
      <c r="B11" s="144" t="s">
        <v>1585</v>
      </c>
      <c r="D11" s="193"/>
      <c r="E11" s="193">
        <v>4</v>
      </c>
      <c r="F11" s="193" t="s">
        <v>1563</v>
      </c>
      <c r="G11" s="193" t="s">
        <v>151</v>
      </c>
      <c r="H11" s="193" t="s">
        <v>419</v>
      </c>
      <c r="I11" s="193" t="s">
        <v>434</v>
      </c>
      <c r="J11" s="193"/>
      <c r="K11" s="193" t="s">
        <v>1187</v>
      </c>
      <c r="L11" s="176"/>
      <c r="M11" s="194"/>
      <c r="N11" s="193"/>
      <c r="O11" s="193"/>
      <c r="P11" s="193"/>
      <c r="Q11" s="193"/>
      <c r="R11" s="193"/>
      <c r="S11" s="175"/>
      <c r="T11" s="193">
        <v>2025</v>
      </c>
      <c r="U11" s="220" t="s">
        <v>160</v>
      </c>
      <c r="V11" s="154" t="s">
        <v>210</v>
      </c>
    </row>
    <row r="12" spans="1:22" hidden="1">
      <c r="A12" s="144" t="s">
        <v>272</v>
      </c>
      <c r="D12" s="193"/>
      <c r="E12" s="193">
        <v>4</v>
      </c>
      <c r="F12" s="193" t="s">
        <v>1563</v>
      </c>
      <c r="G12" s="193" t="s">
        <v>151</v>
      </c>
      <c r="H12" s="193" t="s">
        <v>419</v>
      </c>
      <c r="I12" s="193" t="s">
        <v>435</v>
      </c>
      <c r="J12" s="193">
        <v>71360466</v>
      </c>
      <c r="K12" s="193" t="s">
        <v>1187</v>
      </c>
      <c r="L12" s="176">
        <v>30410</v>
      </c>
      <c r="M12" s="194">
        <f t="shared" ca="1" si="0"/>
        <v>43</v>
      </c>
      <c r="N12" s="193" t="s">
        <v>73</v>
      </c>
      <c r="O12" s="193">
        <v>3117718123</v>
      </c>
      <c r="P12" s="193" t="s">
        <v>436</v>
      </c>
      <c r="Q12" s="193" t="s">
        <v>419</v>
      </c>
      <c r="R12" s="193" t="s">
        <v>164</v>
      </c>
      <c r="S12" s="175" t="s">
        <v>663</v>
      </c>
      <c r="T12" s="193">
        <v>2023</v>
      </c>
      <c r="U12" s="220" t="s">
        <v>160</v>
      </c>
      <c r="V12" s="154" t="s">
        <v>210</v>
      </c>
    </row>
    <row r="13" spans="1:22">
      <c r="A13" s="144" t="s">
        <v>114</v>
      </c>
      <c r="B13" s="211" t="s">
        <v>461</v>
      </c>
      <c r="C13" s="211"/>
      <c r="D13" s="755" t="s">
        <v>2290</v>
      </c>
      <c r="E13" s="755">
        <v>4</v>
      </c>
      <c r="F13" s="755" t="s">
        <v>1563</v>
      </c>
      <c r="G13" s="755" t="s">
        <v>151</v>
      </c>
      <c r="H13" s="755" t="s">
        <v>437</v>
      </c>
      <c r="I13" s="755" t="s">
        <v>447</v>
      </c>
      <c r="J13" s="755">
        <v>3238048296</v>
      </c>
      <c r="K13" s="755" t="s">
        <v>1187</v>
      </c>
      <c r="L13" s="765">
        <v>31979</v>
      </c>
      <c r="M13" s="755">
        <f ca="1">DATEDIF(L13,TODAY(),"Y")</f>
        <v>38</v>
      </c>
      <c r="N13" s="755" t="s">
        <v>1588</v>
      </c>
      <c r="O13" s="755">
        <v>3052263621</v>
      </c>
      <c r="P13" s="755" t="s">
        <v>448</v>
      </c>
      <c r="Q13" s="755" t="s">
        <v>1626</v>
      </c>
      <c r="R13" s="755" t="s">
        <v>321</v>
      </c>
      <c r="S13" s="755" t="s">
        <v>663</v>
      </c>
      <c r="T13" s="755">
        <v>2023</v>
      </c>
      <c r="U13" s="760" t="s">
        <v>166</v>
      </c>
      <c r="V13" s="754" t="s">
        <v>210</v>
      </c>
    </row>
    <row r="14" spans="1:22" hidden="1">
      <c r="A14" s="144" t="s">
        <v>1586</v>
      </c>
      <c r="B14" s="211" t="s">
        <v>663</v>
      </c>
      <c r="C14" s="211"/>
      <c r="D14" s="195"/>
      <c r="E14" s="195">
        <v>4</v>
      </c>
      <c r="F14" s="195" t="s">
        <v>1563</v>
      </c>
      <c r="G14" s="195" t="s">
        <v>151</v>
      </c>
      <c r="H14" s="195" t="s">
        <v>437</v>
      </c>
      <c r="I14" s="195" t="s">
        <v>438</v>
      </c>
      <c r="J14" s="195">
        <v>43806892</v>
      </c>
      <c r="K14" s="195" t="s">
        <v>1191</v>
      </c>
      <c r="L14" s="177"/>
      <c r="M14" s="195"/>
      <c r="N14" s="195" t="s">
        <v>1588</v>
      </c>
      <c r="O14" s="195">
        <v>3117785461</v>
      </c>
      <c r="P14" s="195" t="s">
        <v>439</v>
      </c>
      <c r="Q14" s="195" t="s">
        <v>1626</v>
      </c>
      <c r="R14" s="195" t="s">
        <v>891</v>
      </c>
      <c r="S14" s="195" t="s">
        <v>663</v>
      </c>
      <c r="T14" s="195"/>
      <c r="U14" s="221" t="s">
        <v>160</v>
      </c>
      <c r="V14" s="154" t="s">
        <v>210</v>
      </c>
    </row>
    <row r="15" spans="1:22" hidden="1">
      <c r="A15" s="144" t="s">
        <v>227</v>
      </c>
      <c r="B15" s="211" t="s">
        <v>170</v>
      </c>
      <c r="C15" s="211"/>
      <c r="D15" s="195"/>
      <c r="E15" s="195">
        <v>4</v>
      </c>
      <c r="F15" s="195" t="s">
        <v>1563</v>
      </c>
      <c r="G15" s="195" t="s">
        <v>151</v>
      </c>
      <c r="H15" s="195" t="s">
        <v>437</v>
      </c>
      <c r="I15" s="195" t="s">
        <v>440</v>
      </c>
      <c r="J15" s="195">
        <v>70570061</v>
      </c>
      <c r="K15" s="195" t="s">
        <v>1187</v>
      </c>
      <c r="L15" s="177">
        <v>20632</v>
      </c>
      <c r="M15" s="195">
        <f ca="1">DATEDIF(L15,TODAY(),"Y")</f>
        <v>69</v>
      </c>
      <c r="N15" s="195" t="s">
        <v>1588</v>
      </c>
      <c r="O15" s="195">
        <v>3116073934</v>
      </c>
      <c r="P15" s="195" t="s">
        <v>441</v>
      </c>
      <c r="Q15" s="195" t="s">
        <v>1626</v>
      </c>
      <c r="R15" s="195" t="s">
        <v>876</v>
      </c>
      <c r="S15" s="195" t="s">
        <v>663</v>
      </c>
      <c r="T15" s="195">
        <v>2022</v>
      </c>
      <c r="U15" s="221" t="s">
        <v>160</v>
      </c>
      <c r="V15" s="154" t="s">
        <v>210</v>
      </c>
    </row>
    <row r="16" spans="1:22" hidden="1">
      <c r="A16" s="144" t="s">
        <v>1587</v>
      </c>
      <c r="B16" s="211" t="s">
        <v>193</v>
      </c>
      <c r="C16" s="211"/>
      <c r="D16" s="195"/>
      <c r="E16" s="195">
        <v>4</v>
      </c>
      <c r="F16" s="195" t="s">
        <v>1563</v>
      </c>
      <c r="G16" s="195" t="s">
        <v>151</v>
      </c>
      <c r="H16" s="195" t="s">
        <v>437</v>
      </c>
      <c r="I16" s="195" t="s">
        <v>442</v>
      </c>
      <c r="J16" s="195">
        <v>1035235809</v>
      </c>
      <c r="K16" s="195" t="s">
        <v>1187</v>
      </c>
      <c r="L16" s="177">
        <v>36109</v>
      </c>
      <c r="M16" s="195">
        <f ca="1">DATEDIF(L16,TODAY(),"Y")</f>
        <v>27</v>
      </c>
      <c r="N16" s="195" t="s">
        <v>1588</v>
      </c>
      <c r="O16" s="195">
        <v>3117246250</v>
      </c>
      <c r="P16" s="195" t="s">
        <v>443</v>
      </c>
      <c r="Q16" s="195" t="s">
        <v>1626</v>
      </c>
      <c r="R16" s="195" t="s">
        <v>164</v>
      </c>
      <c r="S16" s="195" t="s">
        <v>663</v>
      </c>
      <c r="T16" s="195">
        <v>2023</v>
      </c>
      <c r="U16" s="221" t="s">
        <v>160</v>
      </c>
      <c r="V16" s="154" t="s">
        <v>210</v>
      </c>
    </row>
    <row r="17" spans="1:23" hidden="1">
      <c r="A17" s="144" t="s">
        <v>1588</v>
      </c>
      <c r="B17" s="211" t="s">
        <v>1881</v>
      </c>
      <c r="C17" s="211"/>
      <c r="D17" s="195"/>
      <c r="E17" s="195">
        <v>4</v>
      </c>
      <c r="F17" s="195" t="s">
        <v>1563</v>
      </c>
      <c r="G17" s="195" t="s">
        <v>151</v>
      </c>
      <c r="H17" s="195" t="s">
        <v>437</v>
      </c>
      <c r="I17" s="195" t="s">
        <v>444</v>
      </c>
      <c r="J17" s="195">
        <v>1035442114</v>
      </c>
      <c r="K17" s="195" t="s">
        <v>1191</v>
      </c>
      <c r="L17" s="177">
        <v>36225</v>
      </c>
      <c r="M17" s="195">
        <f ca="1">DATEDIF(L17,TODAY(),"Y")</f>
        <v>27</v>
      </c>
      <c r="N17" s="195" t="s">
        <v>1588</v>
      </c>
      <c r="O17" s="195">
        <v>3502123693</v>
      </c>
      <c r="P17" s="195" t="s">
        <v>445</v>
      </c>
      <c r="Q17" s="195" t="s">
        <v>1626</v>
      </c>
      <c r="R17" s="195" t="s">
        <v>891</v>
      </c>
      <c r="S17" s="195" t="s">
        <v>218</v>
      </c>
      <c r="T17" s="195"/>
      <c r="U17" s="221" t="s">
        <v>160</v>
      </c>
      <c r="V17" s="154" t="s">
        <v>210</v>
      </c>
    </row>
    <row r="18" spans="1:23" hidden="1">
      <c r="B18" s="211" t="s">
        <v>1882</v>
      </c>
      <c r="C18" s="211"/>
      <c r="D18" s="195"/>
      <c r="E18" s="195">
        <v>4</v>
      </c>
      <c r="F18" s="195" t="s">
        <v>1563</v>
      </c>
      <c r="G18" s="195" t="s">
        <v>151</v>
      </c>
      <c r="H18" s="195" t="s">
        <v>437</v>
      </c>
      <c r="I18" s="195" t="s">
        <v>446</v>
      </c>
      <c r="J18" s="195">
        <v>1214731257</v>
      </c>
      <c r="K18" s="195" t="s">
        <v>1187</v>
      </c>
      <c r="L18" s="177"/>
      <c r="M18" s="195"/>
      <c r="N18" s="195" t="s">
        <v>1588</v>
      </c>
      <c r="O18" s="195">
        <v>3007180700</v>
      </c>
      <c r="P18" s="195"/>
      <c r="Q18" s="195" t="s">
        <v>1626</v>
      </c>
      <c r="R18" s="195"/>
      <c r="S18" s="195"/>
      <c r="T18" s="195"/>
      <c r="U18" s="221" t="s">
        <v>160</v>
      </c>
      <c r="V18" s="154" t="s">
        <v>210</v>
      </c>
    </row>
    <row r="19" spans="1:23" hidden="1">
      <c r="A19" s="144" t="s">
        <v>160</v>
      </c>
      <c r="B19" s="211" t="s">
        <v>405</v>
      </c>
      <c r="C19" s="211"/>
      <c r="D19" s="195"/>
      <c r="E19" s="195">
        <v>4</v>
      </c>
      <c r="F19" s="195" t="s">
        <v>1563</v>
      </c>
      <c r="G19" s="195" t="s">
        <v>151</v>
      </c>
      <c r="H19" s="195" t="s">
        <v>437</v>
      </c>
      <c r="I19" s="195" t="s">
        <v>449</v>
      </c>
      <c r="J19" s="195">
        <v>1128384596</v>
      </c>
      <c r="K19" s="195" t="s">
        <v>1191</v>
      </c>
      <c r="L19" s="177">
        <v>30720</v>
      </c>
      <c r="M19" s="195">
        <f ca="1">DATEDIF(L19,TODAY(),"Y")</f>
        <v>42</v>
      </c>
      <c r="N19" s="195" t="s">
        <v>1588</v>
      </c>
      <c r="O19" s="195">
        <v>3217645303</v>
      </c>
      <c r="P19" s="195" t="s">
        <v>450</v>
      </c>
      <c r="Q19" s="195" t="s">
        <v>1626</v>
      </c>
      <c r="R19" s="195" t="s">
        <v>333</v>
      </c>
      <c r="S19" s="195" t="s">
        <v>663</v>
      </c>
      <c r="T19" s="195">
        <v>2022</v>
      </c>
      <c r="U19" s="221" t="s">
        <v>160</v>
      </c>
      <c r="V19" s="154" t="s">
        <v>210</v>
      </c>
    </row>
    <row r="20" spans="1:23" hidden="1">
      <c r="A20" s="144" t="s">
        <v>166</v>
      </c>
      <c r="B20" s="211" t="s">
        <v>1883</v>
      </c>
      <c r="C20" s="211"/>
      <c r="D20" s="195"/>
      <c r="E20" s="195">
        <v>4</v>
      </c>
      <c r="F20" s="195" t="s">
        <v>1563</v>
      </c>
      <c r="G20" s="195" t="s">
        <v>151</v>
      </c>
      <c r="H20" s="195" t="s">
        <v>437</v>
      </c>
      <c r="I20" s="195" t="s">
        <v>451</v>
      </c>
      <c r="J20" s="195">
        <v>1018222200</v>
      </c>
      <c r="K20" s="195" t="s">
        <v>1187</v>
      </c>
      <c r="L20" s="177"/>
      <c r="M20" s="195"/>
      <c r="N20" s="195" t="s">
        <v>1588</v>
      </c>
      <c r="O20" s="195">
        <v>3238048296</v>
      </c>
      <c r="P20" s="195"/>
      <c r="Q20" s="195" t="s">
        <v>1626</v>
      </c>
      <c r="R20" s="195"/>
      <c r="S20" s="195"/>
      <c r="T20" s="195"/>
      <c r="U20" s="221" t="s">
        <v>160</v>
      </c>
      <c r="V20" s="154" t="s">
        <v>210</v>
      </c>
      <c r="W20" s="173"/>
    </row>
    <row r="21" spans="1:23">
      <c r="B21" s="211" t="s">
        <v>230</v>
      </c>
      <c r="C21" s="211"/>
      <c r="D21" s="755" t="s">
        <v>2290</v>
      </c>
      <c r="E21" s="755">
        <v>4</v>
      </c>
      <c r="F21" s="755" t="s">
        <v>1563</v>
      </c>
      <c r="G21" s="755" t="s">
        <v>151</v>
      </c>
      <c r="H21" s="755" t="s">
        <v>452</v>
      </c>
      <c r="I21" s="755" t="s">
        <v>455</v>
      </c>
      <c r="J21" s="755">
        <v>71790988</v>
      </c>
      <c r="K21" s="755" t="s">
        <v>1187</v>
      </c>
      <c r="L21" s="765">
        <v>28672</v>
      </c>
      <c r="M21" s="755">
        <f ca="1">DATEDIF(L21,TODAY(),"Y")</f>
        <v>47</v>
      </c>
      <c r="N21" s="755" t="s">
        <v>1588</v>
      </c>
      <c r="O21" s="755">
        <v>3146464990</v>
      </c>
      <c r="P21" s="755" t="s">
        <v>456</v>
      </c>
      <c r="Q21" s="755" t="s">
        <v>1628</v>
      </c>
      <c r="R21" s="755" t="s">
        <v>321</v>
      </c>
      <c r="S21" s="755" t="s">
        <v>1585</v>
      </c>
      <c r="T21" s="755">
        <v>2023</v>
      </c>
      <c r="U21" s="760" t="s">
        <v>166</v>
      </c>
      <c r="V21" s="754" t="s">
        <v>210</v>
      </c>
      <c r="W21" s="197"/>
    </row>
    <row r="22" spans="1:23" hidden="1">
      <c r="A22" s="144" t="s">
        <v>1624</v>
      </c>
      <c r="B22" s="211" t="s">
        <v>1884</v>
      </c>
      <c r="C22" s="211"/>
      <c r="D22" s="196"/>
      <c r="E22" s="196">
        <v>4</v>
      </c>
      <c r="F22" s="196" t="s">
        <v>1563</v>
      </c>
      <c r="G22" s="196" t="s">
        <v>151</v>
      </c>
      <c r="H22" s="196" t="s">
        <v>452</v>
      </c>
      <c r="I22" s="196" t="s">
        <v>453</v>
      </c>
      <c r="J22" s="196">
        <v>70084674</v>
      </c>
      <c r="K22" s="196" t="s">
        <v>1187</v>
      </c>
      <c r="L22" s="178">
        <v>21166</v>
      </c>
      <c r="M22" s="196">
        <f t="shared" ref="M22:M75" ca="1" si="1">DATEDIF(L22,TODAY(),"Y")</f>
        <v>68</v>
      </c>
      <c r="N22" s="196" t="s">
        <v>1588</v>
      </c>
      <c r="O22" s="196">
        <v>3148335981</v>
      </c>
      <c r="P22" s="196" t="s">
        <v>454</v>
      </c>
      <c r="Q22" s="196" t="s">
        <v>1628</v>
      </c>
      <c r="R22" s="196" t="s">
        <v>876</v>
      </c>
      <c r="S22" s="196" t="s">
        <v>663</v>
      </c>
      <c r="T22" s="196">
        <v>2018</v>
      </c>
      <c r="U22" s="222" t="s">
        <v>160</v>
      </c>
      <c r="V22" s="154" t="s">
        <v>210</v>
      </c>
    </row>
    <row r="23" spans="1:23" hidden="1">
      <c r="A23" s="144" t="s">
        <v>1897</v>
      </c>
      <c r="B23" s="211" t="s">
        <v>1885</v>
      </c>
      <c r="C23" s="211"/>
      <c r="D23" s="196"/>
      <c r="E23" s="196">
        <v>4</v>
      </c>
      <c r="F23" s="196" t="s">
        <v>1563</v>
      </c>
      <c r="G23" s="196" t="s">
        <v>151</v>
      </c>
      <c r="H23" s="196" t="s">
        <v>452</v>
      </c>
      <c r="I23" s="196" t="s">
        <v>457</v>
      </c>
      <c r="J23" s="196">
        <v>43095669</v>
      </c>
      <c r="K23" s="196" t="s">
        <v>1191</v>
      </c>
      <c r="L23" s="178">
        <v>23688</v>
      </c>
      <c r="M23" s="196">
        <f t="shared" ca="1" si="1"/>
        <v>61</v>
      </c>
      <c r="N23" s="196" t="s">
        <v>1588</v>
      </c>
      <c r="O23" s="196">
        <v>3104463668</v>
      </c>
      <c r="P23" s="196" t="s">
        <v>458</v>
      </c>
      <c r="Q23" s="196" t="s">
        <v>1628</v>
      </c>
      <c r="R23" s="196" t="s">
        <v>891</v>
      </c>
      <c r="S23" s="196" t="s">
        <v>663</v>
      </c>
      <c r="T23" s="196">
        <v>2023</v>
      </c>
      <c r="U23" s="222" t="s">
        <v>160</v>
      </c>
      <c r="V23" s="154" t="s">
        <v>210</v>
      </c>
    </row>
    <row r="24" spans="1:23" hidden="1">
      <c r="A24" s="144" t="s">
        <v>419</v>
      </c>
      <c r="B24" s="211" t="s">
        <v>1886</v>
      </c>
      <c r="C24" s="211"/>
      <c r="D24" s="196"/>
      <c r="E24" s="196">
        <v>4</v>
      </c>
      <c r="F24" s="196" t="s">
        <v>1563</v>
      </c>
      <c r="G24" s="196" t="s">
        <v>151</v>
      </c>
      <c r="H24" s="196" t="s">
        <v>452</v>
      </c>
      <c r="I24" s="196" t="s">
        <v>459</v>
      </c>
      <c r="J24" s="196">
        <v>32015531</v>
      </c>
      <c r="K24" s="196" t="s">
        <v>1191</v>
      </c>
      <c r="L24" s="178">
        <v>21457</v>
      </c>
      <c r="M24" s="196">
        <f t="shared" ca="1" si="1"/>
        <v>67</v>
      </c>
      <c r="N24" s="196" t="s">
        <v>1588</v>
      </c>
      <c r="O24" s="196">
        <v>3207137373</v>
      </c>
      <c r="P24" s="196" t="s">
        <v>460</v>
      </c>
      <c r="Q24" s="196" t="s">
        <v>1628</v>
      </c>
      <c r="R24" s="196" t="s">
        <v>876</v>
      </c>
      <c r="S24" s="196" t="s">
        <v>461</v>
      </c>
      <c r="T24" s="196">
        <v>2000</v>
      </c>
      <c r="U24" s="222" t="s">
        <v>160</v>
      </c>
      <c r="V24" s="154" t="s">
        <v>210</v>
      </c>
    </row>
    <row r="25" spans="1:23" hidden="1">
      <c r="A25" s="144" t="s">
        <v>1631</v>
      </c>
      <c r="B25" s="211" t="s">
        <v>1887</v>
      </c>
      <c r="C25" s="211"/>
      <c r="D25" s="196"/>
      <c r="E25" s="196">
        <v>4</v>
      </c>
      <c r="F25" s="196" t="s">
        <v>1563</v>
      </c>
      <c r="G25" s="196" t="s">
        <v>151</v>
      </c>
      <c r="H25" s="196" t="s">
        <v>452</v>
      </c>
      <c r="I25" s="196" t="s">
        <v>462</v>
      </c>
      <c r="J25" s="196">
        <v>71644130</v>
      </c>
      <c r="K25" s="196" t="s">
        <v>1187</v>
      </c>
      <c r="L25" s="178">
        <v>22894</v>
      </c>
      <c r="M25" s="196">
        <f t="shared" ca="1" si="1"/>
        <v>63</v>
      </c>
      <c r="N25" s="196" t="s">
        <v>1588</v>
      </c>
      <c r="O25" s="196">
        <v>3024855454</v>
      </c>
      <c r="P25" s="196" t="s">
        <v>463</v>
      </c>
      <c r="Q25" s="196" t="s">
        <v>1628</v>
      </c>
      <c r="R25" s="196" t="s">
        <v>876</v>
      </c>
      <c r="S25" s="196" t="s">
        <v>1898</v>
      </c>
      <c r="T25" s="196">
        <v>2024</v>
      </c>
      <c r="U25" s="222" t="s">
        <v>160</v>
      </c>
      <c r="V25" s="154" t="s">
        <v>210</v>
      </c>
    </row>
    <row r="26" spans="1:23" hidden="1">
      <c r="A26" s="144" t="s">
        <v>1563</v>
      </c>
      <c r="B26" s="211" t="s">
        <v>1888</v>
      </c>
      <c r="C26" s="211"/>
      <c r="D26" s="196"/>
      <c r="E26" s="196">
        <v>4</v>
      </c>
      <c r="F26" s="196" t="s">
        <v>1563</v>
      </c>
      <c r="G26" s="196" t="s">
        <v>151</v>
      </c>
      <c r="H26" s="196" t="s">
        <v>452</v>
      </c>
      <c r="I26" s="196" t="s">
        <v>464</v>
      </c>
      <c r="J26" s="196">
        <v>42969653</v>
      </c>
      <c r="K26" s="196" t="s">
        <v>1191</v>
      </c>
      <c r="L26" s="178">
        <v>21474</v>
      </c>
      <c r="M26" s="196">
        <f t="shared" ca="1" si="1"/>
        <v>67</v>
      </c>
      <c r="N26" s="196" t="s">
        <v>1588</v>
      </c>
      <c r="O26" s="196">
        <v>3004999794</v>
      </c>
      <c r="P26" s="196" t="s">
        <v>465</v>
      </c>
      <c r="Q26" s="196" t="s">
        <v>1628</v>
      </c>
      <c r="R26" s="196" t="s">
        <v>876</v>
      </c>
      <c r="S26" s="196" t="s">
        <v>1585</v>
      </c>
      <c r="T26" s="196">
        <v>2024</v>
      </c>
      <c r="U26" s="222" t="s">
        <v>160</v>
      </c>
      <c r="V26" s="154" t="s">
        <v>210</v>
      </c>
    </row>
    <row r="27" spans="1:23" hidden="1">
      <c r="A27" s="144" t="s">
        <v>1625</v>
      </c>
      <c r="B27" s="211" t="s">
        <v>1889</v>
      </c>
      <c r="C27" s="211"/>
      <c r="D27" s="196"/>
      <c r="E27" s="196">
        <v>4</v>
      </c>
      <c r="F27" s="196" t="s">
        <v>1563</v>
      </c>
      <c r="G27" s="196" t="s">
        <v>151</v>
      </c>
      <c r="H27" s="196" t="s">
        <v>452</v>
      </c>
      <c r="I27" s="196" t="s">
        <v>466</v>
      </c>
      <c r="J27" s="196"/>
      <c r="K27" s="196" t="s">
        <v>1191</v>
      </c>
      <c r="L27" s="178"/>
      <c r="M27" s="196"/>
      <c r="N27" s="196" t="s">
        <v>1588</v>
      </c>
      <c r="O27" s="196">
        <v>3136815053</v>
      </c>
      <c r="P27" s="196"/>
      <c r="Q27" s="196" t="s">
        <v>1628</v>
      </c>
      <c r="R27" s="196"/>
      <c r="S27" s="196"/>
      <c r="T27" s="196"/>
      <c r="U27" s="222" t="s">
        <v>160</v>
      </c>
      <c r="V27" s="154" t="s">
        <v>210</v>
      </c>
    </row>
    <row r="28" spans="1:23" hidden="1">
      <c r="A28" s="144" t="s">
        <v>1626</v>
      </c>
      <c r="B28" s="211" t="s">
        <v>1890</v>
      </c>
      <c r="C28" s="211"/>
      <c r="D28" s="196"/>
      <c r="E28" s="196">
        <v>4</v>
      </c>
      <c r="F28" s="196" t="s">
        <v>1563</v>
      </c>
      <c r="G28" s="196" t="s">
        <v>151</v>
      </c>
      <c r="H28" s="196" t="s">
        <v>452</v>
      </c>
      <c r="I28" s="196" t="s">
        <v>467</v>
      </c>
      <c r="J28" s="196"/>
      <c r="K28" s="196" t="s">
        <v>1191</v>
      </c>
      <c r="L28" s="178"/>
      <c r="M28" s="196"/>
      <c r="N28" s="196" t="s">
        <v>1588</v>
      </c>
      <c r="O28" s="196">
        <v>3025301387</v>
      </c>
      <c r="P28" s="196"/>
      <c r="Q28" s="196" t="s">
        <v>1628</v>
      </c>
      <c r="R28" s="196"/>
      <c r="S28" s="196"/>
      <c r="T28" s="196"/>
      <c r="U28" s="222" t="s">
        <v>160</v>
      </c>
      <c r="V28" s="154" t="s">
        <v>210</v>
      </c>
    </row>
    <row r="29" spans="1:23" hidden="1">
      <c r="A29" s="144" t="s">
        <v>1630</v>
      </c>
      <c r="B29" s="211" t="s">
        <v>1891</v>
      </c>
      <c r="C29" s="211"/>
      <c r="D29" s="196"/>
      <c r="E29" s="196">
        <v>4</v>
      </c>
      <c r="F29" s="196" t="s">
        <v>1563</v>
      </c>
      <c r="G29" s="196" t="s">
        <v>151</v>
      </c>
      <c r="H29" s="196" t="s">
        <v>452</v>
      </c>
      <c r="I29" s="196" t="s">
        <v>468</v>
      </c>
      <c r="J29" s="196"/>
      <c r="K29" s="196" t="s">
        <v>1187</v>
      </c>
      <c r="L29" s="178"/>
      <c r="M29" s="196"/>
      <c r="N29" s="196" t="s">
        <v>1588</v>
      </c>
      <c r="O29" s="196">
        <v>3044828347</v>
      </c>
      <c r="P29" s="196"/>
      <c r="Q29" s="196" t="s">
        <v>1628</v>
      </c>
      <c r="R29" s="196"/>
      <c r="S29" s="196"/>
      <c r="T29" s="196"/>
      <c r="U29" s="222" t="s">
        <v>160</v>
      </c>
      <c r="V29" s="154" t="s">
        <v>210</v>
      </c>
    </row>
    <row r="30" spans="1:23" hidden="1">
      <c r="A30" s="144" t="s">
        <v>1629</v>
      </c>
      <c r="B30" s="211" t="s">
        <v>1892</v>
      </c>
      <c r="C30" s="211"/>
      <c r="D30" s="196"/>
      <c r="E30" s="196">
        <v>4</v>
      </c>
      <c r="F30" s="196" t="s">
        <v>1563</v>
      </c>
      <c r="G30" s="196" t="s">
        <v>151</v>
      </c>
      <c r="H30" s="196" t="s">
        <v>452</v>
      </c>
      <c r="I30" s="196" t="s">
        <v>469</v>
      </c>
      <c r="J30" s="196"/>
      <c r="K30" s="196" t="s">
        <v>1187</v>
      </c>
      <c r="L30" s="178"/>
      <c r="M30" s="196"/>
      <c r="N30" s="196" t="s">
        <v>1588</v>
      </c>
      <c r="O30" s="196">
        <v>3027477235</v>
      </c>
      <c r="P30" s="196"/>
      <c r="Q30" s="196" t="s">
        <v>1628</v>
      </c>
      <c r="R30" s="196"/>
      <c r="S30" s="196"/>
      <c r="T30" s="196"/>
      <c r="U30" s="222" t="s">
        <v>160</v>
      </c>
      <c r="V30" s="154" t="s">
        <v>210</v>
      </c>
    </row>
    <row r="31" spans="1:23" hidden="1">
      <c r="A31" s="144" t="s">
        <v>554</v>
      </c>
      <c r="B31" s="211" t="s">
        <v>1893</v>
      </c>
      <c r="C31" s="211"/>
      <c r="D31" s="196"/>
      <c r="E31" s="196">
        <v>4</v>
      </c>
      <c r="F31" s="196" t="s">
        <v>1563</v>
      </c>
      <c r="G31" s="196" t="s">
        <v>151</v>
      </c>
      <c r="H31" s="196" t="s">
        <v>452</v>
      </c>
      <c r="I31" s="196" t="s">
        <v>470</v>
      </c>
      <c r="J31" s="196">
        <v>71734693</v>
      </c>
      <c r="K31" s="196" t="s">
        <v>1187</v>
      </c>
      <c r="L31" s="178">
        <v>26525</v>
      </c>
      <c r="M31" s="196">
        <f t="shared" ca="1" si="1"/>
        <v>53</v>
      </c>
      <c r="N31" s="196" t="s">
        <v>1588</v>
      </c>
      <c r="O31" s="196">
        <v>3016311515</v>
      </c>
      <c r="P31" s="196" t="s">
        <v>471</v>
      </c>
      <c r="Q31" s="196" t="s">
        <v>1628</v>
      </c>
      <c r="R31" s="196" t="s">
        <v>164</v>
      </c>
      <c r="S31" s="196" t="s">
        <v>461</v>
      </c>
      <c r="T31" s="196">
        <v>2022</v>
      </c>
      <c r="U31" s="222" t="s">
        <v>160</v>
      </c>
      <c r="V31" s="154" t="s">
        <v>210</v>
      </c>
    </row>
    <row r="32" spans="1:23">
      <c r="A32" s="144" t="s">
        <v>591</v>
      </c>
      <c r="B32" s="211" t="s">
        <v>1894</v>
      </c>
      <c r="C32" s="211"/>
      <c r="D32" s="755" t="s">
        <v>2290</v>
      </c>
      <c r="E32" s="755">
        <v>4</v>
      </c>
      <c r="F32" s="755" t="s">
        <v>1563</v>
      </c>
      <c r="G32" s="755" t="s">
        <v>151</v>
      </c>
      <c r="H32" s="755" t="s">
        <v>472</v>
      </c>
      <c r="I32" s="755" t="s">
        <v>485</v>
      </c>
      <c r="J32" s="755">
        <v>71758085</v>
      </c>
      <c r="K32" s="755" t="s">
        <v>1187</v>
      </c>
      <c r="L32" s="765">
        <v>30275</v>
      </c>
      <c r="M32" s="755">
        <f t="shared" ref="M32:M43" ca="1" si="2">DATEDIF(L32,TODAY(),"Y")</f>
        <v>43</v>
      </c>
      <c r="N32" s="755" t="s">
        <v>1588</v>
      </c>
      <c r="O32" s="755">
        <v>3117677185</v>
      </c>
      <c r="P32" s="755" t="s">
        <v>486</v>
      </c>
      <c r="Q32" s="755" t="s">
        <v>1625</v>
      </c>
      <c r="R32" s="755" t="s">
        <v>164</v>
      </c>
      <c r="S32" s="755" t="s">
        <v>663</v>
      </c>
      <c r="T32" s="755">
        <v>2006</v>
      </c>
      <c r="U32" s="760" t="s">
        <v>166</v>
      </c>
      <c r="V32" s="754" t="s">
        <v>210</v>
      </c>
    </row>
    <row r="33" spans="1:22" hidden="1">
      <c r="A33" s="144" t="s">
        <v>1716</v>
      </c>
      <c r="B33" s="211" t="s">
        <v>1895</v>
      </c>
      <c r="C33" s="211"/>
      <c r="D33" s="137"/>
      <c r="E33" s="137">
        <v>4</v>
      </c>
      <c r="F33" s="137" t="s">
        <v>1563</v>
      </c>
      <c r="G33" s="137" t="s">
        <v>151</v>
      </c>
      <c r="H33" s="137" t="s">
        <v>472</v>
      </c>
      <c r="I33" s="137" t="s">
        <v>473</v>
      </c>
      <c r="J33" s="137">
        <v>1035425638</v>
      </c>
      <c r="K33" s="137" t="s">
        <v>1187</v>
      </c>
      <c r="L33" s="179">
        <v>33344</v>
      </c>
      <c r="M33" s="137">
        <f t="shared" ca="1" si="2"/>
        <v>35</v>
      </c>
      <c r="N33" s="137" t="s">
        <v>1588</v>
      </c>
      <c r="O33" s="137">
        <v>3012372375</v>
      </c>
      <c r="P33" s="137" t="s">
        <v>474</v>
      </c>
      <c r="Q33" s="137" t="s">
        <v>1625</v>
      </c>
      <c r="R33" s="137" t="s">
        <v>192</v>
      </c>
      <c r="S33" s="137" t="s">
        <v>663</v>
      </c>
      <c r="T33" s="137">
        <v>2024</v>
      </c>
      <c r="U33" s="223" t="s">
        <v>160</v>
      </c>
      <c r="V33" s="154" t="s">
        <v>210</v>
      </c>
    </row>
    <row r="34" spans="1:22" hidden="1">
      <c r="A34" s="144" t="s">
        <v>1717</v>
      </c>
      <c r="B34" s="211" t="s">
        <v>1896</v>
      </c>
      <c r="C34" s="211"/>
      <c r="D34" s="137"/>
      <c r="E34" s="137">
        <v>4</v>
      </c>
      <c r="F34" s="137" t="s">
        <v>1563</v>
      </c>
      <c r="G34" s="137" t="s">
        <v>151</v>
      </c>
      <c r="H34" s="137" t="s">
        <v>472</v>
      </c>
      <c r="I34" s="137" t="s">
        <v>475</v>
      </c>
      <c r="J34" s="137">
        <v>1087997692</v>
      </c>
      <c r="K34" s="137" t="s">
        <v>1191</v>
      </c>
      <c r="L34" s="179">
        <v>32457</v>
      </c>
      <c r="M34" s="137">
        <f t="shared" ca="1" si="2"/>
        <v>37</v>
      </c>
      <c r="N34" s="137" t="s">
        <v>56</v>
      </c>
      <c r="O34" s="137">
        <v>3206725680</v>
      </c>
      <c r="P34" s="137" t="s">
        <v>476</v>
      </c>
      <c r="Q34" s="137" t="s">
        <v>1625</v>
      </c>
      <c r="R34" s="137" t="s">
        <v>333</v>
      </c>
      <c r="S34" s="137" t="s">
        <v>663</v>
      </c>
      <c r="T34" s="137">
        <v>2023</v>
      </c>
      <c r="U34" s="223" t="s">
        <v>160</v>
      </c>
      <c r="V34" s="154" t="s">
        <v>210</v>
      </c>
    </row>
    <row r="35" spans="1:22" hidden="1">
      <c r="A35" s="144" t="s">
        <v>1627</v>
      </c>
      <c r="B35" s="144" t="s">
        <v>1899</v>
      </c>
      <c r="D35" s="137"/>
      <c r="E35" s="137">
        <v>4</v>
      </c>
      <c r="F35" s="137" t="s">
        <v>1563</v>
      </c>
      <c r="G35" s="137" t="s">
        <v>151</v>
      </c>
      <c r="H35" s="137" t="s">
        <v>472</v>
      </c>
      <c r="I35" s="137" t="s">
        <v>477</v>
      </c>
      <c r="J35" s="137">
        <v>43621767</v>
      </c>
      <c r="K35" s="137" t="s">
        <v>1191</v>
      </c>
      <c r="L35" s="179">
        <v>28475</v>
      </c>
      <c r="M35" s="137">
        <f t="shared" ca="1" si="2"/>
        <v>48</v>
      </c>
      <c r="N35" s="137" t="s">
        <v>1588</v>
      </c>
      <c r="O35" s="137">
        <v>3013722195</v>
      </c>
      <c r="P35" s="137" t="s">
        <v>478</v>
      </c>
      <c r="Q35" s="137" t="s">
        <v>1625</v>
      </c>
      <c r="R35" s="137" t="s">
        <v>164</v>
      </c>
      <c r="S35" s="137" t="s">
        <v>663</v>
      </c>
      <c r="T35" s="137">
        <v>2024</v>
      </c>
      <c r="U35" s="223" t="s">
        <v>160</v>
      </c>
      <c r="V35" s="154" t="s">
        <v>210</v>
      </c>
    </row>
    <row r="36" spans="1:22" hidden="1">
      <c r="A36" s="144" t="s">
        <v>1628</v>
      </c>
      <c r="B36" s="144" t="s">
        <v>1900</v>
      </c>
      <c r="D36" s="137"/>
      <c r="E36" s="137">
        <v>4</v>
      </c>
      <c r="F36" s="137" t="s">
        <v>1563</v>
      </c>
      <c r="G36" s="137" t="s">
        <v>151</v>
      </c>
      <c r="H36" s="137" t="s">
        <v>472</v>
      </c>
      <c r="I36" s="137" t="s">
        <v>479</v>
      </c>
      <c r="J36" s="137">
        <v>43060362</v>
      </c>
      <c r="K36" s="137" t="s">
        <v>1191</v>
      </c>
      <c r="L36" s="179">
        <v>22981</v>
      </c>
      <c r="M36" s="137">
        <f t="shared" ca="1" si="2"/>
        <v>63</v>
      </c>
      <c r="N36" s="137" t="s">
        <v>73</v>
      </c>
      <c r="O36" s="137">
        <v>3007810400</v>
      </c>
      <c r="P36" s="137" t="s">
        <v>480</v>
      </c>
      <c r="Q36" s="137" t="s">
        <v>1625</v>
      </c>
      <c r="R36" s="137" t="s">
        <v>876</v>
      </c>
      <c r="S36" s="137" t="s">
        <v>461</v>
      </c>
      <c r="T36" s="137">
        <v>2019</v>
      </c>
      <c r="U36" s="223" t="s">
        <v>160</v>
      </c>
      <c r="V36" s="154" t="s">
        <v>210</v>
      </c>
    </row>
    <row r="37" spans="1:22" hidden="1">
      <c r="A37" s="144" t="s">
        <v>568</v>
      </c>
      <c r="B37" s="144" t="s">
        <v>1898</v>
      </c>
      <c r="D37" s="137"/>
      <c r="E37" s="137">
        <v>4</v>
      </c>
      <c r="F37" s="137" t="s">
        <v>1563</v>
      </c>
      <c r="G37" s="137" t="s">
        <v>151</v>
      </c>
      <c r="H37" s="137" t="s">
        <v>472</v>
      </c>
      <c r="I37" s="137" t="s">
        <v>481</v>
      </c>
      <c r="J37" s="137">
        <v>1033657803</v>
      </c>
      <c r="K37" s="137" t="s">
        <v>1191</v>
      </c>
      <c r="L37" s="179">
        <v>35785</v>
      </c>
      <c r="M37" s="137">
        <f t="shared" ca="1" si="2"/>
        <v>28</v>
      </c>
      <c r="N37" s="137" t="s">
        <v>1588</v>
      </c>
      <c r="O37" s="137">
        <v>3157927600</v>
      </c>
      <c r="P37" s="137" t="s">
        <v>482</v>
      </c>
      <c r="Q37" s="137" t="s">
        <v>1625</v>
      </c>
      <c r="R37" s="137" t="s">
        <v>192</v>
      </c>
      <c r="S37" s="137" t="s">
        <v>663</v>
      </c>
      <c r="T37" s="137">
        <v>2023</v>
      </c>
      <c r="U37" s="223" t="s">
        <v>160</v>
      </c>
      <c r="V37" s="154" t="s">
        <v>210</v>
      </c>
    </row>
    <row r="38" spans="1:22" hidden="1">
      <c r="A38" s="144" t="s">
        <v>1718</v>
      </c>
      <c r="B38" s="144" t="s">
        <v>218</v>
      </c>
      <c r="D38" s="137"/>
      <c r="E38" s="137">
        <v>4</v>
      </c>
      <c r="F38" s="137" t="s">
        <v>1563</v>
      </c>
      <c r="G38" s="137" t="s">
        <v>151</v>
      </c>
      <c r="H38" s="137" t="s">
        <v>472</v>
      </c>
      <c r="I38" s="137" t="s">
        <v>483</v>
      </c>
      <c r="J38" s="137">
        <v>1010057536</v>
      </c>
      <c r="K38" s="137" t="s">
        <v>1187</v>
      </c>
      <c r="L38" s="179">
        <v>31422</v>
      </c>
      <c r="M38" s="137">
        <f t="shared" ca="1" si="2"/>
        <v>40</v>
      </c>
      <c r="N38" s="137" t="s">
        <v>1588</v>
      </c>
      <c r="O38" s="137">
        <v>3044287569</v>
      </c>
      <c r="P38" s="137" t="s">
        <v>484</v>
      </c>
      <c r="Q38" s="137" t="s">
        <v>1625</v>
      </c>
      <c r="R38" s="137" t="s">
        <v>164</v>
      </c>
      <c r="S38" s="137" t="s">
        <v>230</v>
      </c>
      <c r="T38" s="137">
        <v>2023</v>
      </c>
      <c r="U38" s="223" t="s">
        <v>160</v>
      </c>
      <c r="V38" s="154" t="s">
        <v>210</v>
      </c>
    </row>
    <row r="39" spans="1:22" hidden="1">
      <c r="B39" s="144" t="s">
        <v>1585</v>
      </c>
      <c r="D39" s="137"/>
      <c r="E39" s="137">
        <v>4</v>
      </c>
      <c r="F39" s="137" t="s">
        <v>1563</v>
      </c>
      <c r="G39" s="137" t="s">
        <v>151</v>
      </c>
      <c r="H39" s="137" t="s">
        <v>472</v>
      </c>
      <c r="I39" s="137" t="s">
        <v>487</v>
      </c>
      <c r="J39" s="137">
        <v>1017150253</v>
      </c>
      <c r="K39" s="137" t="s">
        <v>1187</v>
      </c>
      <c r="L39" s="179">
        <v>31507</v>
      </c>
      <c r="M39" s="137">
        <f t="shared" ca="1" si="2"/>
        <v>40</v>
      </c>
      <c r="N39" s="137" t="s">
        <v>1588</v>
      </c>
      <c r="O39" s="137">
        <v>3152413434</v>
      </c>
      <c r="P39" s="137" t="s">
        <v>488</v>
      </c>
      <c r="Q39" s="137" t="s">
        <v>1625</v>
      </c>
      <c r="R39" s="137" t="s">
        <v>333</v>
      </c>
      <c r="S39" s="137" t="s">
        <v>663</v>
      </c>
      <c r="T39" s="137">
        <v>2023</v>
      </c>
      <c r="U39" s="223" t="s">
        <v>160</v>
      </c>
      <c r="V39" s="154" t="s">
        <v>210</v>
      </c>
    </row>
    <row r="40" spans="1:22" hidden="1">
      <c r="D40" s="137"/>
      <c r="E40" s="137">
        <v>4</v>
      </c>
      <c r="F40" s="137" t="s">
        <v>1563</v>
      </c>
      <c r="G40" s="137" t="s">
        <v>151</v>
      </c>
      <c r="H40" s="137" t="s">
        <v>472</v>
      </c>
      <c r="I40" s="137" t="s">
        <v>489</v>
      </c>
      <c r="J40" s="137">
        <v>43604998</v>
      </c>
      <c r="K40" s="137" t="s">
        <v>1191</v>
      </c>
      <c r="L40" s="179">
        <v>27964</v>
      </c>
      <c r="M40" s="137">
        <f t="shared" ca="1" si="2"/>
        <v>49</v>
      </c>
      <c r="N40" s="137" t="s">
        <v>1588</v>
      </c>
      <c r="O40" s="137">
        <v>3186485283</v>
      </c>
      <c r="P40" s="137" t="s">
        <v>490</v>
      </c>
      <c r="Q40" s="137" t="s">
        <v>1625</v>
      </c>
      <c r="R40" s="137" t="s">
        <v>164</v>
      </c>
      <c r="S40" s="137" t="s">
        <v>663</v>
      </c>
      <c r="T40" s="137">
        <v>2024</v>
      </c>
      <c r="U40" s="223" t="s">
        <v>160</v>
      </c>
      <c r="V40" s="154" t="s">
        <v>210</v>
      </c>
    </row>
    <row r="41" spans="1:22" hidden="1">
      <c r="D41" s="137"/>
      <c r="E41" s="137">
        <v>4</v>
      </c>
      <c r="F41" s="137" t="s">
        <v>1563</v>
      </c>
      <c r="G41" s="137" t="s">
        <v>151</v>
      </c>
      <c r="H41" s="137" t="s">
        <v>472</v>
      </c>
      <c r="I41" s="137" t="s">
        <v>491</v>
      </c>
      <c r="J41" s="137">
        <v>1017199487</v>
      </c>
      <c r="K41" s="137" t="s">
        <v>1187</v>
      </c>
      <c r="L41" s="179">
        <v>33543</v>
      </c>
      <c r="M41" s="137">
        <f t="shared" ca="1" si="2"/>
        <v>34</v>
      </c>
      <c r="N41" s="137" t="s">
        <v>73</v>
      </c>
      <c r="O41" s="137">
        <v>3194528438</v>
      </c>
      <c r="P41" s="137" t="s">
        <v>492</v>
      </c>
      <c r="Q41" s="137" t="s">
        <v>1625</v>
      </c>
      <c r="R41" s="137" t="s">
        <v>164</v>
      </c>
      <c r="S41" s="137" t="s">
        <v>230</v>
      </c>
      <c r="T41" s="137">
        <v>2023</v>
      </c>
      <c r="U41" s="223" t="s">
        <v>160</v>
      </c>
      <c r="V41" s="154" t="s">
        <v>210</v>
      </c>
    </row>
    <row r="42" spans="1:22" hidden="1">
      <c r="D42" s="137"/>
      <c r="E42" s="137">
        <v>4</v>
      </c>
      <c r="F42" s="137" t="s">
        <v>1563</v>
      </c>
      <c r="G42" s="137" t="s">
        <v>151</v>
      </c>
      <c r="H42" s="137" t="s">
        <v>472</v>
      </c>
      <c r="I42" s="137" t="s">
        <v>493</v>
      </c>
      <c r="J42" s="137">
        <v>1022094841</v>
      </c>
      <c r="K42" s="137" t="s">
        <v>1187</v>
      </c>
      <c r="L42" s="179">
        <v>32800</v>
      </c>
      <c r="M42" s="137">
        <f t="shared" ca="1" si="2"/>
        <v>36</v>
      </c>
      <c r="N42" s="137" t="s">
        <v>56</v>
      </c>
      <c r="O42" s="137">
        <v>3104979210</v>
      </c>
      <c r="P42" s="137" t="s">
        <v>494</v>
      </c>
      <c r="Q42" s="137" t="s">
        <v>1625</v>
      </c>
      <c r="R42" s="137" t="s">
        <v>164</v>
      </c>
      <c r="S42" s="137" t="s">
        <v>230</v>
      </c>
      <c r="T42" s="137">
        <v>2022</v>
      </c>
      <c r="U42" s="223" t="s">
        <v>160</v>
      </c>
      <c r="V42" s="154" t="s">
        <v>210</v>
      </c>
    </row>
    <row r="43" spans="1:22" hidden="1">
      <c r="D43" s="137"/>
      <c r="E43" s="137">
        <v>4</v>
      </c>
      <c r="F43" s="137" t="s">
        <v>1563</v>
      </c>
      <c r="G43" s="137" t="s">
        <v>151</v>
      </c>
      <c r="H43" s="137" t="s">
        <v>472</v>
      </c>
      <c r="I43" s="137" t="s">
        <v>495</v>
      </c>
      <c r="J43" s="137">
        <v>1214748038</v>
      </c>
      <c r="K43" s="137" t="s">
        <v>1187</v>
      </c>
      <c r="L43" s="179">
        <v>36448</v>
      </c>
      <c r="M43" s="137">
        <f t="shared" ca="1" si="2"/>
        <v>26</v>
      </c>
      <c r="N43" s="137" t="s">
        <v>1588</v>
      </c>
      <c r="O43" s="137">
        <v>3103606945</v>
      </c>
      <c r="P43" s="137" t="s">
        <v>496</v>
      </c>
      <c r="Q43" s="137" t="s">
        <v>1625</v>
      </c>
      <c r="R43" s="137" t="s">
        <v>333</v>
      </c>
      <c r="S43" s="137" t="s">
        <v>663</v>
      </c>
      <c r="T43" s="137">
        <v>2023</v>
      </c>
      <c r="U43" s="223" t="s">
        <v>160</v>
      </c>
      <c r="V43" s="154" t="s">
        <v>210</v>
      </c>
    </row>
    <row r="44" spans="1:22">
      <c r="D44" s="755" t="s">
        <v>2290</v>
      </c>
      <c r="E44" s="755">
        <v>4</v>
      </c>
      <c r="F44" s="755" t="s">
        <v>1563</v>
      </c>
      <c r="G44" s="755" t="s">
        <v>151</v>
      </c>
      <c r="H44" s="809" t="s">
        <v>497</v>
      </c>
      <c r="I44" s="809" t="s">
        <v>505</v>
      </c>
      <c r="J44" s="809">
        <v>71629686</v>
      </c>
      <c r="K44" s="755" t="s">
        <v>1187</v>
      </c>
      <c r="L44" s="810">
        <v>23335</v>
      </c>
      <c r="M44" s="755">
        <f t="shared" ca="1" si="1"/>
        <v>62</v>
      </c>
      <c r="N44" s="755" t="s">
        <v>1588</v>
      </c>
      <c r="O44" s="755">
        <v>3015152462</v>
      </c>
      <c r="P44" s="755" t="s">
        <v>506</v>
      </c>
      <c r="Q44" s="755" t="s">
        <v>1631</v>
      </c>
      <c r="R44" s="755" t="s">
        <v>192</v>
      </c>
      <c r="S44" s="755" t="s">
        <v>663</v>
      </c>
      <c r="T44" s="755">
        <v>2022</v>
      </c>
      <c r="U44" s="760" t="s">
        <v>166</v>
      </c>
      <c r="V44" s="754" t="s">
        <v>210</v>
      </c>
    </row>
    <row r="45" spans="1:22" hidden="1">
      <c r="D45" s="200"/>
      <c r="E45" s="200">
        <v>4</v>
      </c>
      <c r="F45" s="200" t="s">
        <v>1563</v>
      </c>
      <c r="G45" s="200" t="s">
        <v>151</v>
      </c>
      <c r="H45" s="183" t="s">
        <v>497</v>
      </c>
      <c r="I45" s="183" t="s">
        <v>498</v>
      </c>
      <c r="J45" s="183">
        <v>43041635</v>
      </c>
      <c r="K45" s="200" t="s">
        <v>1191</v>
      </c>
      <c r="L45" s="182">
        <v>22492</v>
      </c>
      <c r="M45" s="200">
        <f t="shared" ca="1" si="1"/>
        <v>64</v>
      </c>
      <c r="N45" s="200" t="s">
        <v>1588</v>
      </c>
      <c r="O45" s="200">
        <v>3127781532</v>
      </c>
      <c r="P45" s="200" t="s">
        <v>499</v>
      </c>
      <c r="Q45" s="200" t="s">
        <v>1631</v>
      </c>
      <c r="R45" s="200" t="s">
        <v>164</v>
      </c>
      <c r="S45" s="200" t="s">
        <v>663</v>
      </c>
      <c r="T45" s="200">
        <v>2006</v>
      </c>
      <c r="U45" s="224" t="s">
        <v>160</v>
      </c>
      <c r="V45" s="154" t="s">
        <v>210</v>
      </c>
    </row>
    <row r="46" spans="1:22" hidden="1">
      <c r="D46" s="200"/>
      <c r="E46" s="200">
        <v>4</v>
      </c>
      <c r="F46" s="200" t="s">
        <v>1563</v>
      </c>
      <c r="G46" s="200" t="s">
        <v>151</v>
      </c>
      <c r="H46" s="183" t="s">
        <v>497</v>
      </c>
      <c r="I46" s="183" t="s">
        <v>500</v>
      </c>
      <c r="J46" s="183"/>
      <c r="K46" s="200" t="s">
        <v>1191</v>
      </c>
      <c r="L46" s="183"/>
      <c r="M46" s="200"/>
      <c r="N46" s="200" t="s">
        <v>1588</v>
      </c>
      <c r="O46" s="200">
        <v>3104497725</v>
      </c>
      <c r="P46" s="200"/>
      <c r="Q46" s="200" t="s">
        <v>1631</v>
      </c>
      <c r="R46" s="200"/>
      <c r="S46" s="200"/>
      <c r="T46" s="200"/>
      <c r="U46" s="224" t="s">
        <v>160</v>
      </c>
      <c r="V46" s="154" t="s">
        <v>210</v>
      </c>
    </row>
    <row r="47" spans="1:22" hidden="1">
      <c r="D47" s="200"/>
      <c r="E47" s="200">
        <v>4</v>
      </c>
      <c r="F47" s="200" t="s">
        <v>1563</v>
      </c>
      <c r="G47" s="200" t="s">
        <v>151</v>
      </c>
      <c r="H47" s="183" t="s">
        <v>497</v>
      </c>
      <c r="I47" s="183" t="s">
        <v>501</v>
      </c>
      <c r="J47" s="183">
        <v>1036430922</v>
      </c>
      <c r="K47" s="200" t="s">
        <v>1191</v>
      </c>
      <c r="L47" s="181">
        <v>34285</v>
      </c>
      <c r="M47" s="200">
        <f t="shared" ca="1" si="1"/>
        <v>32</v>
      </c>
      <c r="N47" s="200" t="s">
        <v>1588</v>
      </c>
      <c r="O47" s="200">
        <v>3233321695</v>
      </c>
      <c r="P47" s="200" t="s">
        <v>502</v>
      </c>
      <c r="Q47" s="200" t="s">
        <v>1631</v>
      </c>
      <c r="R47" s="200" t="s">
        <v>321</v>
      </c>
      <c r="S47" s="200" t="s">
        <v>663</v>
      </c>
      <c r="T47" s="200">
        <v>2024</v>
      </c>
      <c r="U47" s="224" t="s">
        <v>160</v>
      </c>
      <c r="V47" s="154" t="s">
        <v>210</v>
      </c>
    </row>
    <row r="48" spans="1:22" hidden="1">
      <c r="D48" s="201"/>
      <c r="E48" s="201">
        <v>4</v>
      </c>
      <c r="F48" s="201" t="s">
        <v>1563</v>
      </c>
      <c r="G48" s="201" t="s">
        <v>151</v>
      </c>
      <c r="H48" s="212" t="s">
        <v>497</v>
      </c>
      <c r="I48" s="212" t="s">
        <v>503</v>
      </c>
      <c r="J48" s="212">
        <v>43606571</v>
      </c>
      <c r="K48" s="201" t="s">
        <v>1191</v>
      </c>
      <c r="L48" s="184">
        <v>27973</v>
      </c>
      <c r="M48" s="201">
        <f t="shared" ca="1" si="1"/>
        <v>49</v>
      </c>
      <c r="N48" s="201" t="s">
        <v>1588</v>
      </c>
      <c r="O48" s="200">
        <v>3113810001</v>
      </c>
      <c r="P48" s="200" t="s">
        <v>504</v>
      </c>
      <c r="Q48" s="201" t="s">
        <v>1631</v>
      </c>
      <c r="R48" s="201" t="s">
        <v>164</v>
      </c>
      <c r="S48" s="201" t="s">
        <v>663</v>
      </c>
      <c r="T48" s="200">
        <v>2024</v>
      </c>
      <c r="U48" s="225" t="s">
        <v>160</v>
      </c>
      <c r="V48" s="154" t="s">
        <v>210</v>
      </c>
    </row>
    <row r="49" spans="1:23">
      <c r="D49" s="755" t="s">
        <v>2290</v>
      </c>
      <c r="E49" s="755">
        <v>4</v>
      </c>
      <c r="F49" s="755" t="s">
        <v>1563</v>
      </c>
      <c r="G49" s="755" t="s">
        <v>151</v>
      </c>
      <c r="H49" s="755" t="s">
        <v>507</v>
      </c>
      <c r="I49" s="755" t="s">
        <v>512</v>
      </c>
      <c r="J49" s="755">
        <v>43043688</v>
      </c>
      <c r="K49" s="755" t="s">
        <v>1191</v>
      </c>
      <c r="L49" s="811">
        <v>23315</v>
      </c>
      <c r="M49" s="755">
        <f t="shared" ca="1" si="1"/>
        <v>62</v>
      </c>
      <c r="N49" s="755" t="s">
        <v>1588</v>
      </c>
      <c r="O49" s="755">
        <v>3205813452</v>
      </c>
      <c r="P49" s="755" t="s">
        <v>513</v>
      </c>
      <c r="Q49" s="755" t="s">
        <v>1630</v>
      </c>
      <c r="R49" s="755" t="s">
        <v>891</v>
      </c>
      <c r="S49" s="755" t="s">
        <v>170</v>
      </c>
      <c r="T49" s="755">
        <v>2023</v>
      </c>
      <c r="U49" s="760" t="s">
        <v>166</v>
      </c>
      <c r="V49" s="754" t="s">
        <v>210</v>
      </c>
    </row>
    <row r="50" spans="1:23" hidden="1">
      <c r="D50" s="195"/>
      <c r="E50" s="195">
        <v>4</v>
      </c>
      <c r="F50" s="195" t="s">
        <v>1563</v>
      </c>
      <c r="G50" s="195" t="s">
        <v>151</v>
      </c>
      <c r="H50" s="195" t="s">
        <v>507</v>
      </c>
      <c r="I50" s="195" t="s">
        <v>508</v>
      </c>
      <c r="J50" s="195">
        <v>1000189525</v>
      </c>
      <c r="K50" s="195" t="s">
        <v>1187</v>
      </c>
      <c r="L50" s="186">
        <v>37657</v>
      </c>
      <c r="M50" s="195">
        <f t="shared" ca="1" si="1"/>
        <v>23</v>
      </c>
      <c r="N50" s="195" t="s">
        <v>1588</v>
      </c>
      <c r="O50" s="195">
        <v>3245763434</v>
      </c>
      <c r="P50" s="195" t="s">
        <v>509</v>
      </c>
      <c r="Q50" s="195" t="s">
        <v>1630</v>
      </c>
      <c r="R50" s="195" t="s">
        <v>192</v>
      </c>
      <c r="S50" s="195" t="s">
        <v>230</v>
      </c>
      <c r="T50" s="195">
        <v>2023</v>
      </c>
      <c r="U50" s="221" t="s">
        <v>160</v>
      </c>
      <c r="V50" s="154" t="s">
        <v>210</v>
      </c>
    </row>
    <row r="51" spans="1:23" hidden="1">
      <c r="D51" s="195"/>
      <c r="E51" s="195">
        <v>4</v>
      </c>
      <c r="F51" s="195" t="s">
        <v>1563</v>
      </c>
      <c r="G51" s="195" t="s">
        <v>151</v>
      </c>
      <c r="H51" s="195" t="s">
        <v>507</v>
      </c>
      <c r="I51" s="195" t="s">
        <v>510</v>
      </c>
      <c r="J51" s="195">
        <v>1110519025</v>
      </c>
      <c r="K51" s="195" t="s">
        <v>1191</v>
      </c>
      <c r="L51" s="186">
        <v>33616</v>
      </c>
      <c r="M51" s="195">
        <f t="shared" ca="1" si="1"/>
        <v>34</v>
      </c>
      <c r="N51" s="195" t="s">
        <v>1588</v>
      </c>
      <c r="O51" s="195">
        <v>3138833089</v>
      </c>
      <c r="P51" s="195" t="s">
        <v>511</v>
      </c>
      <c r="Q51" s="195" t="s">
        <v>1630</v>
      </c>
      <c r="R51" s="195" t="s">
        <v>321</v>
      </c>
      <c r="S51" s="195" t="s">
        <v>1898</v>
      </c>
      <c r="T51" s="195"/>
      <c r="U51" s="221" t="s">
        <v>160</v>
      </c>
      <c r="V51" s="154" t="s">
        <v>210</v>
      </c>
    </row>
    <row r="52" spans="1:23" hidden="1">
      <c r="D52" s="195"/>
      <c r="E52" s="195">
        <v>4</v>
      </c>
      <c r="F52" s="195" t="s">
        <v>1563</v>
      </c>
      <c r="G52" s="195" t="s">
        <v>151</v>
      </c>
      <c r="H52" s="195" t="s">
        <v>507</v>
      </c>
      <c r="I52" s="195" t="s">
        <v>514</v>
      </c>
      <c r="J52" s="195">
        <v>43266304</v>
      </c>
      <c r="K52" s="195" t="s">
        <v>1191</v>
      </c>
      <c r="L52" s="186">
        <v>29389</v>
      </c>
      <c r="M52" s="195">
        <f t="shared" ca="1" si="1"/>
        <v>45</v>
      </c>
      <c r="N52" s="195" t="s">
        <v>1588</v>
      </c>
      <c r="O52" s="195">
        <v>3128870644</v>
      </c>
      <c r="P52" s="195" t="s">
        <v>515</v>
      </c>
      <c r="Q52" s="195" t="s">
        <v>1630</v>
      </c>
      <c r="R52" s="195" t="s">
        <v>164</v>
      </c>
      <c r="S52" s="195" t="s">
        <v>230</v>
      </c>
      <c r="T52" s="195">
        <v>2024</v>
      </c>
      <c r="U52" s="221" t="s">
        <v>160</v>
      </c>
      <c r="V52" s="154" t="s">
        <v>210</v>
      </c>
    </row>
    <row r="53" spans="1:23" hidden="1">
      <c r="D53" s="195"/>
      <c r="E53" s="195">
        <v>4</v>
      </c>
      <c r="F53" s="195" t="s">
        <v>1563</v>
      </c>
      <c r="G53" s="195" t="s">
        <v>151</v>
      </c>
      <c r="H53" s="195" t="s">
        <v>507</v>
      </c>
      <c r="I53" s="195" t="s">
        <v>516</v>
      </c>
      <c r="J53" s="195">
        <v>22104393</v>
      </c>
      <c r="K53" s="195" t="s">
        <v>1191</v>
      </c>
      <c r="L53" s="186">
        <v>23269</v>
      </c>
      <c r="M53" s="195">
        <f t="shared" ca="1" si="1"/>
        <v>62</v>
      </c>
      <c r="N53" s="195" t="s">
        <v>1588</v>
      </c>
      <c r="O53" s="195">
        <v>3156411238</v>
      </c>
      <c r="P53" s="195" t="s">
        <v>517</v>
      </c>
      <c r="Q53" s="195" t="s">
        <v>1630</v>
      </c>
      <c r="R53" s="195" t="s">
        <v>876</v>
      </c>
      <c r="S53" s="195" t="s">
        <v>461</v>
      </c>
      <c r="T53" s="195">
        <v>2023</v>
      </c>
      <c r="U53" s="221" t="s">
        <v>160</v>
      </c>
      <c r="V53" s="154" t="s">
        <v>210</v>
      </c>
    </row>
    <row r="54" spans="1:23" hidden="1">
      <c r="D54" s="195"/>
      <c r="E54" s="195">
        <v>4</v>
      </c>
      <c r="F54" s="195" t="s">
        <v>1563</v>
      </c>
      <c r="G54" s="195" t="s">
        <v>151</v>
      </c>
      <c r="H54" s="195" t="s">
        <v>507</v>
      </c>
      <c r="I54" s="195" t="s">
        <v>518</v>
      </c>
      <c r="J54" s="195">
        <v>4734327</v>
      </c>
      <c r="K54" s="195" t="s">
        <v>1191</v>
      </c>
      <c r="L54" s="185">
        <v>23369</v>
      </c>
      <c r="M54" s="195">
        <f t="shared" ca="1" si="1"/>
        <v>62</v>
      </c>
      <c r="N54" s="195" t="s">
        <v>1588</v>
      </c>
      <c r="O54" s="195">
        <v>3007568408</v>
      </c>
      <c r="P54" s="195" t="s">
        <v>519</v>
      </c>
      <c r="Q54" s="195" t="s">
        <v>1630</v>
      </c>
      <c r="R54" s="195" t="s">
        <v>891</v>
      </c>
      <c r="S54" s="195" t="s">
        <v>230</v>
      </c>
      <c r="T54" s="195">
        <v>2024</v>
      </c>
      <c r="U54" s="221" t="s">
        <v>160</v>
      </c>
      <c r="V54" s="154" t="s">
        <v>210</v>
      </c>
    </row>
    <row r="55" spans="1:23" hidden="1">
      <c r="D55" s="195"/>
      <c r="E55" s="195">
        <v>4</v>
      </c>
      <c r="F55" s="195" t="s">
        <v>1563</v>
      </c>
      <c r="G55" s="195" t="s">
        <v>151</v>
      </c>
      <c r="H55" s="195" t="s">
        <v>507</v>
      </c>
      <c r="I55" s="195" t="s">
        <v>520</v>
      </c>
      <c r="J55" s="195"/>
      <c r="K55" s="195" t="s">
        <v>1191</v>
      </c>
      <c r="L55" s="187"/>
      <c r="M55" s="195"/>
      <c r="N55" s="195" t="s">
        <v>1588</v>
      </c>
      <c r="O55" s="195">
        <v>3114209109</v>
      </c>
      <c r="P55" s="195"/>
      <c r="Q55" s="195" t="s">
        <v>1630</v>
      </c>
      <c r="R55" s="195"/>
      <c r="S55" s="195"/>
      <c r="T55" s="195"/>
      <c r="U55" s="221" t="s">
        <v>160</v>
      </c>
      <c r="V55" s="154" t="s">
        <v>210</v>
      </c>
    </row>
    <row r="56" spans="1:23" hidden="1">
      <c r="D56" s="195"/>
      <c r="E56" s="195">
        <v>4</v>
      </c>
      <c r="F56" s="195" t="s">
        <v>1563</v>
      </c>
      <c r="G56" s="195" t="s">
        <v>151</v>
      </c>
      <c r="H56" s="195" t="s">
        <v>507</v>
      </c>
      <c r="I56" s="195" t="s">
        <v>521</v>
      </c>
      <c r="J56" s="195">
        <v>43076462</v>
      </c>
      <c r="K56" s="195" t="s">
        <v>1191</v>
      </c>
      <c r="L56" s="187"/>
      <c r="M56" s="195"/>
      <c r="N56" s="195" t="s">
        <v>1588</v>
      </c>
      <c r="O56" s="195">
        <v>3192993379</v>
      </c>
      <c r="P56" s="195"/>
      <c r="Q56" s="195" t="s">
        <v>1630</v>
      </c>
      <c r="R56" s="195"/>
      <c r="S56" s="195"/>
      <c r="T56" s="195"/>
      <c r="U56" s="221" t="s">
        <v>160</v>
      </c>
      <c r="V56" s="154" t="s">
        <v>210</v>
      </c>
    </row>
    <row r="57" spans="1:23" hidden="1">
      <c r="D57" s="195"/>
      <c r="E57" s="195">
        <v>4</v>
      </c>
      <c r="F57" s="195" t="s">
        <v>1563</v>
      </c>
      <c r="G57" s="195" t="s">
        <v>151</v>
      </c>
      <c r="H57" s="195" t="s">
        <v>507</v>
      </c>
      <c r="I57" s="195" t="s">
        <v>522</v>
      </c>
      <c r="J57" s="195">
        <v>42982749</v>
      </c>
      <c r="K57" s="195" t="s">
        <v>1191</v>
      </c>
      <c r="L57" s="187"/>
      <c r="M57" s="195"/>
      <c r="N57" s="195" t="s">
        <v>1588</v>
      </c>
      <c r="O57" s="195"/>
      <c r="P57" s="195"/>
      <c r="Q57" s="195" t="s">
        <v>1630</v>
      </c>
      <c r="R57" s="195"/>
      <c r="S57" s="195"/>
      <c r="T57" s="195"/>
      <c r="U57" s="221" t="s">
        <v>160</v>
      </c>
      <c r="V57" s="154" t="s">
        <v>210</v>
      </c>
      <c r="W57" s="206"/>
    </row>
    <row r="58" spans="1:23" hidden="1">
      <c r="D58" s="195"/>
      <c r="E58" s="195">
        <v>4</v>
      </c>
      <c r="F58" s="195" t="s">
        <v>1563</v>
      </c>
      <c r="G58" s="195" t="s">
        <v>151</v>
      </c>
      <c r="H58" s="195" t="s">
        <v>507</v>
      </c>
      <c r="I58" s="195" t="s">
        <v>523</v>
      </c>
      <c r="J58" s="195">
        <v>43798582</v>
      </c>
      <c r="K58" s="195" t="s">
        <v>1191</v>
      </c>
      <c r="L58" s="187"/>
      <c r="M58" s="195"/>
      <c r="N58" s="195" t="s">
        <v>1588</v>
      </c>
      <c r="O58" s="195">
        <v>3053863604</v>
      </c>
      <c r="P58" s="195"/>
      <c r="Q58" s="195" t="s">
        <v>1630</v>
      </c>
      <c r="R58" s="195"/>
      <c r="S58" s="195"/>
      <c r="T58" s="195"/>
      <c r="U58" s="221" t="s">
        <v>160</v>
      </c>
      <c r="V58" s="154" t="s">
        <v>210</v>
      </c>
      <c r="W58" s="206"/>
    </row>
    <row r="59" spans="1:23" hidden="1">
      <c r="D59" s="195"/>
      <c r="E59" s="195">
        <v>4</v>
      </c>
      <c r="F59" s="195" t="s">
        <v>1563</v>
      </c>
      <c r="G59" s="195" t="s">
        <v>151</v>
      </c>
      <c r="H59" s="195" t="s">
        <v>507</v>
      </c>
      <c r="I59" s="195" t="s">
        <v>524</v>
      </c>
      <c r="J59" s="195">
        <v>32323651</v>
      </c>
      <c r="K59" s="195" t="s">
        <v>1191</v>
      </c>
      <c r="L59" s="187"/>
      <c r="M59" s="195"/>
      <c r="N59" s="195" t="s">
        <v>1588</v>
      </c>
      <c r="O59" s="195">
        <v>3017177163</v>
      </c>
      <c r="P59" s="195"/>
      <c r="Q59" s="195" t="s">
        <v>1630</v>
      </c>
      <c r="R59" s="195"/>
      <c r="S59" s="195"/>
      <c r="T59" s="195"/>
      <c r="U59" s="221" t="s">
        <v>160</v>
      </c>
      <c r="V59" s="154" t="s">
        <v>210</v>
      </c>
      <c r="W59" s="206"/>
    </row>
    <row r="60" spans="1:23">
      <c r="D60" s="755" t="s">
        <v>2290</v>
      </c>
      <c r="E60" s="754">
        <v>4</v>
      </c>
      <c r="F60" s="754" t="s">
        <v>1563</v>
      </c>
      <c r="G60" s="754" t="s">
        <v>151</v>
      </c>
      <c r="H60" s="754" t="s">
        <v>525</v>
      </c>
      <c r="I60" s="754" t="s">
        <v>526</v>
      </c>
      <c r="J60" s="754">
        <v>435462045</v>
      </c>
      <c r="K60" s="754" t="s">
        <v>1191</v>
      </c>
      <c r="L60" s="812">
        <v>25334</v>
      </c>
      <c r="M60" s="754">
        <f t="shared" ref="M60:M65" ca="1" si="3">DATEDIF(L60,TODAY(),"Y")</f>
        <v>57</v>
      </c>
      <c r="N60" s="754" t="s">
        <v>1588</v>
      </c>
      <c r="O60" s="754">
        <v>3148212761</v>
      </c>
      <c r="P60" s="754" t="s">
        <v>527</v>
      </c>
      <c r="Q60" s="754" t="s">
        <v>1624</v>
      </c>
      <c r="R60" s="754" t="s">
        <v>164</v>
      </c>
      <c r="S60" s="754" t="s">
        <v>663</v>
      </c>
      <c r="T60" s="754">
        <v>2022</v>
      </c>
      <c r="U60" s="813" t="s">
        <v>166</v>
      </c>
      <c r="V60" s="754" t="s">
        <v>210</v>
      </c>
      <c r="W60" s="206"/>
    </row>
    <row r="61" spans="1:23" hidden="1">
      <c r="D61" s="196"/>
      <c r="E61" s="196">
        <v>4</v>
      </c>
      <c r="F61" s="196" t="s">
        <v>1563</v>
      </c>
      <c r="G61" s="196" t="s">
        <v>151</v>
      </c>
      <c r="H61" s="188" t="s">
        <v>525</v>
      </c>
      <c r="I61" s="188" t="s">
        <v>528</v>
      </c>
      <c r="J61" s="188">
        <v>71666064</v>
      </c>
      <c r="K61" s="188" t="s">
        <v>1187</v>
      </c>
      <c r="L61" s="178">
        <v>23569</v>
      </c>
      <c r="M61" s="196">
        <f t="shared" ca="1" si="3"/>
        <v>61</v>
      </c>
      <c r="N61" s="188" t="s">
        <v>1588</v>
      </c>
      <c r="O61" s="188">
        <v>3013958336</v>
      </c>
      <c r="P61" s="188" t="s">
        <v>529</v>
      </c>
      <c r="Q61" s="188" t="s">
        <v>1624</v>
      </c>
      <c r="R61" s="188" t="s">
        <v>1585</v>
      </c>
      <c r="S61" s="188" t="s">
        <v>230</v>
      </c>
      <c r="T61" s="188">
        <v>2022</v>
      </c>
      <c r="U61" s="222" t="s">
        <v>160</v>
      </c>
      <c r="V61" s="154" t="s">
        <v>210</v>
      </c>
      <c r="W61" s="206"/>
    </row>
    <row r="62" spans="1:23" hidden="1">
      <c r="B62" s="206"/>
      <c r="C62" s="206"/>
      <c r="D62" s="196"/>
      <c r="E62" s="188">
        <v>4</v>
      </c>
      <c r="F62" s="188" t="s">
        <v>1563</v>
      </c>
      <c r="G62" s="188" t="s">
        <v>151</v>
      </c>
      <c r="H62" s="188" t="s">
        <v>525</v>
      </c>
      <c r="I62" s="188" t="s">
        <v>530</v>
      </c>
      <c r="J62" s="188">
        <v>1152706419</v>
      </c>
      <c r="K62" s="188" t="s">
        <v>1191</v>
      </c>
      <c r="L62" s="180">
        <v>35382</v>
      </c>
      <c r="M62" s="188">
        <f t="shared" ca="1" si="3"/>
        <v>29</v>
      </c>
      <c r="N62" s="188" t="s">
        <v>1588</v>
      </c>
      <c r="O62" s="188">
        <v>3195579931</v>
      </c>
      <c r="P62" s="188" t="s">
        <v>531</v>
      </c>
      <c r="Q62" s="188" t="s">
        <v>1624</v>
      </c>
      <c r="R62" s="188" t="s">
        <v>164</v>
      </c>
      <c r="S62" s="188" t="s">
        <v>663</v>
      </c>
      <c r="T62" s="188">
        <v>2022</v>
      </c>
      <c r="U62" s="226" t="s">
        <v>160</v>
      </c>
      <c r="V62" s="154" t="s">
        <v>210</v>
      </c>
      <c r="W62" s="206"/>
    </row>
    <row r="63" spans="1:23" hidden="1">
      <c r="A63" s="206"/>
      <c r="B63" s="206"/>
      <c r="C63" s="206"/>
      <c r="D63" s="196"/>
      <c r="E63" s="196">
        <v>4</v>
      </c>
      <c r="F63" s="196" t="s">
        <v>1563</v>
      </c>
      <c r="G63" s="196" t="s">
        <v>151</v>
      </c>
      <c r="H63" s="188" t="s">
        <v>525</v>
      </c>
      <c r="I63" s="188" t="s">
        <v>532</v>
      </c>
      <c r="J63" s="188"/>
      <c r="K63" s="188" t="s">
        <v>1187</v>
      </c>
      <c r="L63" s="178">
        <v>24691</v>
      </c>
      <c r="M63" s="196">
        <f t="shared" ca="1" si="3"/>
        <v>58</v>
      </c>
      <c r="N63" s="188" t="s">
        <v>1588</v>
      </c>
      <c r="O63" s="188">
        <v>3153780938</v>
      </c>
      <c r="P63" s="188" t="s">
        <v>533</v>
      </c>
      <c r="Q63" s="188" t="s">
        <v>1624</v>
      </c>
      <c r="R63" s="188" t="s">
        <v>333</v>
      </c>
      <c r="S63" s="188" t="s">
        <v>663</v>
      </c>
      <c r="T63" s="188">
        <v>2023</v>
      </c>
      <c r="U63" s="222" t="s">
        <v>160</v>
      </c>
      <c r="V63" s="154" t="s">
        <v>210</v>
      </c>
      <c r="W63" s="206"/>
    </row>
    <row r="64" spans="1:23" hidden="1">
      <c r="A64" s="206"/>
      <c r="B64" s="206"/>
      <c r="C64" s="206"/>
      <c r="D64" s="196"/>
      <c r="E64" s="188">
        <v>4</v>
      </c>
      <c r="F64" s="188" t="s">
        <v>1563</v>
      </c>
      <c r="G64" s="188" t="s">
        <v>151</v>
      </c>
      <c r="H64" s="188" t="s">
        <v>525</v>
      </c>
      <c r="I64" s="188" t="s">
        <v>534</v>
      </c>
      <c r="J64" s="188">
        <v>71733133</v>
      </c>
      <c r="K64" s="188" t="s">
        <v>1187</v>
      </c>
      <c r="L64" s="180">
        <v>26583</v>
      </c>
      <c r="M64" s="188">
        <f t="shared" ca="1" si="3"/>
        <v>53</v>
      </c>
      <c r="N64" s="188" t="s">
        <v>1588</v>
      </c>
      <c r="O64" s="188">
        <v>3054621288</v>
      </c>
      <c r="P64" s="188" t="s">
        <v>535</v>
      </c>
      <c r="Q64" s="188" t="s">
        <v>1624</v>
      </c>
      <c r="R64" s="188" t="s">
        <v>164</v>
      </c>
      <c r="S64" s="188" t="s">
        <v>218</v>
      </c>
      <c r="T64" s="188">
        <v>2022</v>
      </c>
      <c r="U64" s="226" t="s">
        <v>160</v>
      </c>
      <c r="V64" s="154" t="s">
        <v>210</v>
      </c>
      <c r="W64" s="206"/>
    </row>
    <row r="65" spans="1:22" hidden="1">
      <c r="A65" s="206"/>
      <c r="B65" s="206"/>
      <c r="C65" s="206"/>
      <c r="D65" s="196"/>
      <c r="E65" s="196">
        <v>4</v>
      </c>
      <c r="F65" s="196" t="s">
        <v>1563</v>
      </c>
      <c r="G65" s="196" t="s">
        <v>151</v>
      </c>
      <c r="H65" s="188" t="s">
        <v>525</v>
      </c>
      <c r="I65" s="188" t="s">
        <v>536</v>
      </c>
      <c r="J65" s="188">
        <v>1146440791</v>
      </c>
      <c r="K65" s="188" t="s">
        <v>1187</v>
      </c>
      <c r="L65" s="178">
        <v>35347</v>
      </c>
      <c r="M65" s="196">
        <f t="shared" ca="1" si="3"/>
        <v>29</v>
      </c>
      <c r="N65" s="188" t="s">
        <v>1588</v>
      </c>
      <c r="O65" s="188">
        <v>2052169262</v>
      </c>
      <c r="P65" s="188" t="s">
        <v>537</v>
      </c>
      <c r="Q65" s="188" t="s">
        <v>1624</v>
      </c>
      <c r="R65" s="188" t="s">
        <v>192</v>
      </c>
      <c r="S65" s="188" t="s">
        <v>218</v>
      </c>
      <c r="T65" s="188">
        <v>2022</v>
      </c>
      <c r="U65" s="222" t="s">
        <v>160</v>
      </c>
      <c r="V65" s="154" t="s">
        <v>210</v>
      </c>
    </row>
    <row r="66" spans="1:22">
      <c r="A66" s="206"/>
      <c r="B66" s="206"/>
      <c r="C66" s="206"/>
      <c r="D66" s="814" t="s">
        <v>2290</v>
      </c>
      <c r="E66" s="754">
        <v>4</v>
      </c>
      <c r="F66" s="754" t="s">
        <v>1563</v>
      </c>
      <c r="G66" s="754" t="s">
        <v>151</v>
      </c>
      <c r="H66" s="755" t="s">
        <v>538</v>
      </c>
      <c r="I66" s="755" t="s">
        <v>539</v>
      </c>
      <c r="J66" s="755">
        <v>8267773</v>
      </c>
      <c r="K66" s="755" t="s">
        <v>1187</v>
      </c>
      <c r="L66" s="765">
        <v>16788</v>
      </c>
      <c r="M66" s="754">
        <f t="shared" ca="1" si="1"/>
        <v>80</v>
      </c>
      <c r="N66" s="754" t="s">
        <v>73</v>
      </c>
      <c r="O66" s="754">
        <v>3127269102</v>
      </c>
      <c r="P66" s="754" t="s">
        <v>540</v>
      </c>
      <c r="Q66" s="754" t="s">
        <v>1624</v>
      </c>
      <c r="R66" s="754" t="s">
        <v>164</v>
      </c>
      <c r="S66" s="754" t="s">
        <v>663</v>
      </c>
      <c r="T66" s="754">
        <v>2011</v>
      </c>
      <c r="U66" s="813" t="s">
        <v>166</v>
      </c>
      <c r="V66" s="754" t="s">
        <v>210</v>
      </c>
    </row>
    <row r="67" spans="1:22" hidden="1">
      <c r="A67" s="206"/>
      <c r="B67" s="206"/>
      <c r="C67" s="206"/>
      <c r="D67" s="217"/>
      <c r="E67" s="137">
        <v>4</v>
      </c>
      <c r="F67" s="137" t="s">
        <v>1563</v>
      </c>
      <c r="G67" s="137" t="s">
        <v>151</v>
      </c>
      <c r="H67" s="137" t="s">
        <v>538</v>
      </c>
      <c r="I67" s="137" t="s">
        <v>541</v>
      </c>
      <c r="J67" s="137">
        <v>43032812</v>
      </c>
      <c r="K67" s="137" t="s">
        <v>1191</v>
      </c>
      <c r="L67" s="179">
        <v>22767</v>
      </c>
      <c r="M67" s="137">
        <f t="shared" ca="1" si="1"/>
        <v>64</v>
      </c>
      <c r="N67" s="137" t="s">
        <v>1588</v>
      </c>
      <c r="O67" s="202">
        <v>3128622857</v>
      </c>
      <c r="P67" s="202" t="s">
        <v>542</v>
      </c>
      <c r="Q67" s="202" t="s">
        <v>1624</v>
      </c>
      <c r="R67" s="202" t="s">
        <v>164</v>
      </c>
      <c r="S67" s="202" t="s">
        <v>663</v>
      </c>
      <c r="T67" s="202">
        <v>2017</v>
      </c>
      <c r="U67" s="223" t="s">
        <v>160</v>
      </c>
      <c r="V67" s="154" t="s">
        <v>210</v>
      </c>
    </row>
    <row r="68" spans="1:22" hidden="1">
      <c r="A68" s="206"/>
      <c r="B68" s="206"/>
      <c r="C68" s="206"/>
      <c r="D68" s="217"/>
      <c r="E68" s="202">
        <v>4</v>
      </c>
      <c r="F68" s="202" t="s">
        <v>1563</v>
      </c>
      <c r="G68" s="202" t="s">
        <v>151</v>
      </c>
      <c r="H68" s="137" t="s">
        <v>538</v>
      </c>
      <c r="I68" s="137" t="s">
        <v>543</v>
      </c>
      <c r="J68" s="137">
        <v>71647839</v>
      </c>
      <c r="K68" s="137" t="s">
        <v>1187</v>
      </c>
      <c r="L68" s="179">
        <v>23585</v>
      </c>
      <c r="M68" s="202">
        <f t="shared" ca="1" si="1"/>
        <v>61</v>
      </c>
      <c r="N68" s="137" t="s">
        <v>1588</v>
      </c>
      <c r="O68" s="202">
        <v>3004867719</v>
      </c>
      <c r="P68" s="202" t="s">
        <v>544</v>
      </c>
      <c r="Q68" s="202" t="s">
        <v>1624</v>
      </c>
      <c r="R68" s="202" t="s">
        <v>164</v>
      </c>
      <c r="S68" s="202" t="s">
        <v>170</v>
      </c>
      <c r="T68" s="202">
        <v>2009</v>
      </c>
      <c r="U68" s="227" t="s">
        <v>160</v>
      </c>
      <c r="V68" s="154" t="s">
        <v>210</v>
      </c>
    </row>
    <row r="69" spans="1:22" hidden="1">
      <c r="A69" s="206"/>
      <c r="B69" s="206"/>
      <c r="C69" s="206"/>
      <c r="D69" s="217"/>
      <c r="E69" s="137">
        <v>4</v>
      </c>
      <c r="F69" s="137" t="s">
        <v>1563</v>
      </c>
      <c r="G69" s="137" t="s">
        <v>151</v>
      </c>
      <c r="H69" s="137" t="s">
        <v>538</v>
      </c>
      <c r="I69" s="137" t="s">
        <v>545</v>
      </c>
      <c r="J69" s="137">
        <v>42796825</v>
      </c>
      <c r="K69" s="137" t="s">
        <v>1191</v>
      </c>
      <c r="L69" s="179">
        <v>23149</v>
      </c>
      <c r="M69" s="137">
        <f t="shared" ca="1" si="1"/>
        <v>63</v>
      </c>
      <c r="N69" s="137" t="s">
        <v>1588</v>
      </c>
      <c r="O69" s="202">
        <v>3043285742</v>
      </c>
      <c r="P69" s="202" t="s">
        <v>546</v>
      </c>
      <c r="Q69" s="202" t="s">
        <v>1624</v>
      </c>
      <c r="R69" s="202" t="s">
        <v>321</v>
      </c>
      <c r="S69" s="202" t="s">
        <v>461</v>
      </c>
      <c r="T69" s="202">
        <v>2020</v>
      </c>
      <c r="U69" s="223" t="s">
        <v>160</v>
      </c>
      <c r="V69" s="154" t="s">
        <v>210</v>
      </c>
    </row>
    <row r="70" spans="1:22" hidden="1">
      <c r="A70" s="206"/>
      <c r="B70" s="206"/>
      <c r="C70" s="206"/>
      <c r="D70" s="217"/>
      <c r="E70" s="202">
        <v>4</v>
      </c>
      <c r="F70" s="202" t="s">
        <v>1563</v>
      </c>
      <c r="G70" s="202" t="s">
        <v>151</v>
      </c>
      <c r="H70" s="137" t="s">
        <v>538</v>
      </c>
      <c r="I70" s="137" t="s">
        <v>547</v>
      </c>
      <c r="J70" s="137">
        <v>32462156</v>
      </c>
      <c r="K70" s="137" t="s">
        <v>1191</v>
      </c>
      <c r="L70" s="179"/>
      <c r="M70" s="202"/>
      <c r="N70" s="137" t="s">
        <v>1588</v>
      </c>
      <c r="O70" s="202">
        <v>3208913362</v>
      </c>
      <c r="P70" s="202" t="s">
        <v>548</v>
      </c>
      <c r="Q70" s="202" t="s">
        <v>1624</v>
      </c>
      <c r="R70" s="202" t="s">
        <v>876</v>
      </c>
      <c r="S70" s="202" t="s">
        <v>461</v>
      </c>
      <c r="T70" s="202">
        <v>2014</v>
      </c>
      <c r="U70" s="227" t="s">
        <v>160</v>
      </c>
      <c r="V70" s="154" t="s">
        <v>210</v>
      </c>
    </row>
    <row r="71" spans="1:22" hidden="1">
      <c r="A71" s="206"/>
      <c r="B71" s="206"/>
      <c r="C71" s="206"/>
      <c r="D71" s="217"/>
      <c r="E71" s="137">
        <v>4</v>
      </c>
      <c r="F71" s="137" t="s">
        <v>1563</v>
      </c>
      <c r="G71" s="137" t="s">
        <v>151</v>
      </c>
      <c r="H71" s="137" t="s">
        <v>538</v>
      </c>
      <c r="I71" s="137" t="s">
        <v>549</v>
      </c>
      <c r="J71" s="137">
        <v>43039285</v>
      </c>
      <c r="K71" s="137" t="s">
        <v>1191</v>
      </c>
      <c r="L71" s="179"/>
      <c r="M71" s="137"/>
      <c r="N71" s="137" t="s">
        <v>1588</v>
      </c>
      <c r="O71" s="202">
        <v>3122039037</v>
      </c>
      <c r="P71" s="202"/>
      <c r="Q71" s="202" t="s">
        <v>1624</v>
      </c>
      <c r="R71" s="202"/>
      <c r="S71" s="202"/>
      <c r="T71" s="202"/>
      <c r="U71" s="223" t="s">
        <v>160</v>
      </c>
      <c r="V71" s="154" t="s">
        <v>210</v>
      </c>
    </row>
    <row r="72" spans="1:22" hidden="1">
      <c r="A72" s="206"/>
      <c r="B72" s="206"/>
      <c r="C72" s="206"/>
      <c r="D72" s="217"/>
      <c r="E72" s="202">
        <v>4</v>
      </c>
      <c r="F72" s="202" t="s">
        <v>1563</v>
      </c>
      <c r="G72" s="202" t="s">
        <v>151</v>
      </c>
      <c r="H72" s="137" t="s">
        <v>538</v>
      </c>
      <c r="I72" s="137" t="s">
        <v>550</v>
      </c>
      <c r="J72" s="137">
        <v>1023634716</v>
      </c>
      <c r="K72" s="137" t="s">
        <v>1191</v>
      </c>
      <c r="L72" s="179">
        <v>39575</v>
      </c>
      <c r="M72" s="202">
        <f t="shared" ca="1" si="1"/>
        <v>18</v>
      </c>
      <c r="N72" s="202" t="s">
        <v>73</v>
      </c>
      <c r="O72" s="202">
        <v>3238512820</v>
      </c>
      <c r="P72" s="202"/>
      <c r="Q72" s="202" t="s">
        <v>1624</v>
      </c>
      <c r="R72" s="202" t="s">
        <v>192</v>
      </c>
      <c r="S72" s="202" t="s">
        <v>230</v>
      </c>
      <c r="T72" s="202">
        <v>2025</v>
      </c>
      <c r="U72" s="227" t="s">
        <v>160</v>
      </c>
      <c r="V72" s="154" t="s">
        <v>210</v>
      </c>
    </row>
    <row r="73" spans="1:22" hidden="1">
      <c r="A73" s="206"/>
      <c r="B73" s="206"/>
      <c r="C73" s="206"/>
      <c r="D73" s="217"/>
      <c r="E73" s="137">
        <v>4</v>
      </c>
      <c r="F73" s="137" t="s">
        <v>1563</v>
      </c>
      <c r="G73" s="137" t="s">
        <v>151</v>
      </c>
      <c r="H73" s="137" t="s">
        <v>538</v>
      </c>
      <c r="I73" s="137" t="s">
        <v>551</v>
      </c>
      <c r="J73" s="137">
        <v>1023634715</v>
      </c>
      <c r="K73" s="137" t="s">
        <v>1187</v>
      </c>
      <c r="L73" s="179">
        <v>39575</v>
      </c>
      <c r="M73" s="137">
        <f t="shared" ca="1" si="1"/>
        <v>18</v>
      </c>
      <c r="N73" s="137" t="s">
        <v>73</v>
      </c>
      <c r="O73" s="202">
        <v>3013174926</v>
      </c>
      <c r="P73" s="202"/>
      <c r="Q73" s="202" t="s">
        <v>1624</v>
      </c>
      <c r="R73" s="202" t="s">
        <v>192</v>
      </c>
      <c r="S73" s="202" t="s">
        <v>230</v>
      </c>
      <c r="T73" s="202">
        <v>2025</v>
      </c>
      <c r="U73" s="223" t="s">
        <v>160</v>
      </c>
      <c r="V73" s="154" t="s">
        <v>210</v>
      </c>
    </row>
    <row r="74" spans="1:22" hidden="1">
      <c r="D74" s="217"/>
      <c r="E74" s="202">
        <v>4</v>
      </c>
      <c r="F74" s="202" t="s">
        <v>1563</v>
      </c>
      <c r="G74" s="202" t="s">
        <v>151</v>
      </c>
      <c r="H74" s="137" t="s">
        <v>538</v>
      </c>
      <c r="I74" s="137" t="s">
        <v>552</v>
      </c>
      <c r="J74" s="137"/>
      <c r="K74" s="137" t="s">
        <v>1187</v>
      </c>
      <c r="L74" s="179"/>
      <c r="M74" s="202">
        <f t="shared" ca="1" si="1"/>
        <v>126</v>
      </c>
      <c r="N74" s="202" t="s">
        <v>1588</v>
      </c>
      <c r="O74" s="202"/>
      <c r="P74" s="202"/>
      <c r="Q74" s="202" t="s">
        <v>1624</v>
      </c>
      <c r="R74" s="202"/>
      <c r="S74" s="202"/>
      <c r="T74" s="202"/>
      <c r="U74" s="227" t="s">
        <v>160</v>
      </c>
      <c r="V74" s="154" t="s">
        <v>210</v>
      </c>
    </row>
    <row r="75" spans="1:22" hidden="1">
      <c r="D75" s="217"/>
      <c r="E75" s="137">
        <v>4</v>
      </c>
      <c r="F75" s="137" t="s">
        <v>1563</v>
      </c>
      <c r="G75" s="137" t="s">
        <v>151</v>
      </c>
      <c r="H75" s="137" t="s">
        <v>538</v>
      </c>
      <c r="I75" s="137" t="s">
        <v>553</v>
      </c>
      <c r="J75" s="137"/>
      <c r="K75" s="137" t="s">
        <v>1187</v>
      </c>
      <c r="L75" s="179"/>
      <c r="M75" s="137">
        <f t="shared" ca="1" si="1"/>
        <v>126</v>
      </c>
      <c r="N75" s="202" t="s">
        <v>1588</v>
      </c>
      <c r="O75" s="202">
        <v>3015411898</v>
      </c>
      <c r="P75" s="202"/>
      <c r="Q75" s="202" t="s">
        <v>1624</v>
      </c>
      <c r="R75" s="202"/>
      <c r="S75" s="202"/>
      <c r="T75" s="202"/>
      <c r="U75" s="223" t="s">
        <v>160</v>
      </c>
      <c r="V75" s="154" t="s">
        <v>210</v>
      </c>
    </row>
    <row r="76" spans="1:22">
      <c r="D76" s="755" t="s">
        <v>2290</v>
      </c>
      <c r="E76" s="754">
        <v>4</v>
      </c>
      <c r="F76" s="754" t="s">
        <v>1563</v>
      </c>
      <c r="G76" s="754" t="s">
        <v>151</v>
      </c>
      <c r="H76" s="809" t="s">
        <v>554</v>
      </c>
      <c r="I76" s="809" t="s">
        <v>558</v>
      </c>
      <c r="J76" s="809">
        <v>43552520</v>
      </c>
      <c r="K76" s="754" t="s">
        <v>1191</v>
      </c>
      <c r="L76" s="812"/>
      <c r="M76" s="754"/>
      <c r="N76" s="754" t="s">
        <v>1588</v>
      </c>
      <c r="O76" s="809">
        <v>3005221252</v>
      </c>
      <c r="P76" s="754"/>
      <c r="Q76" s="754" t="s">
        <v>554</v>
      </c>
      <c r="R76" s="754"/>
      <c r="S76" s="754"/>
      <c r="T76" s="754"/>
      <c r="U76" s="813" t="s">
        <v>166</v>
      </c>
      <c r="V76" s="754" t="s">
        <v>210</v>
      </c>
    </row>
    <row r="77" spans="1:22" hidden="1">
      <c r="D77" s="200"/>
      <c r="E77" s="200">
        <v>4</v>
      </c>
      <c r="F77" s="200" t="s">
        <v>1563</v>
      </c>
      <c r="G77" s="200" t="s">
        <v>151</v>
      </c>
      <c r="H77" s="183" t="s">
        <v>554</v>
      </c>
      <c r="I77" s="183" t="s">
        <v>555</v>
      </c>
      <c r="J77" s="183">
        <v>52482701</v>
      </c>
      <c r="K77" s="203" t="s">
        <v>1191</v>
      </c>
      <c r="L77" s="191"/>
      <c r="M77" s="200"/>
      <c r="N77" s="203" t="s">
        <v>1588</v>
      </c>
      <c r="O77" s="183">
        <v>3016406362</v>
      </c>
      <c r="P77" s="200"/>
      <c r="Q77" s="203" t="s">
        <v>554</v>
      </c>
      <c r="R77" s="200"/>
      <c r="S77" s="200"/>
      <c r="T77" s="200"/>
      <c r="U77" s="224" t="s">
        <v>160</v>
      </c>
      <c r="V77" s="154" t="s">
        <v>210</v>
      </c>
    </row>
    <row r="78" spans="1:22" hidden="1">
      <c r="D78" s="200"/>
      <c r="E78" s="203">
        <v>4</v>
      </c>
      <c r="F78" s="203" t="s">
        <v>1563</v>
      </c>
      <c r="G78" s="203" t="s">
        <v>151</v>
      </c>
      <c r="H78" s="183" t="s">
        <v>554</v>
      </c>
      <c r="I78" s="183" t="s">
        <v>556</v>
      </c>
      <c r="J78" s="183">
        <v>43503051</v>
      </c>
      <c r="K78" s="203" t="s">
        <v>1191</v>
      </c>
      <c r="L78" s="190"/>
      <c r="M78" s="203"/>
      <c r="N78" s="203" t="s">
        <v>1588</v>
      </c>
      <c r="O78" s="183">
        <v>3053395217</v>
      </c>
      <c r="P78" s="203"/>
      <c r="Q78" s="203" t="s">
        <v>554</v>
      </c>
      <c r="R78" s="203"/>
      <c r="S78" s="203"/>
      <c r="T78" s="203"/>
      <c r="U78" s="228" t="s">
        <v>160</v>
      </c>
      <c r="V78" s="154" t="s">
        <v>210</v>
      </c>
    </row>
    <row r="79" spans="1:22" hidden="1">
      <c r="D79" s="200"/>
      <c r="E79" s="203">
        <v>4</v>
      </c>
      <c r="F79" s="203" t="s">
        <v>1563</v>
      </c>
      <c r="G79" s="203" t="s">
        <v>151</v>
      </c>
      <c r="H79" s="183" t="s">
        <v>554</v>
      </c>
      <c r="I79" s="183" t="s">
        <v>557</v>
      </c>
      <c r="J79" s="183"/>
      <c r="K79" s="203" t="s">
        <v>1191</v>
      </c>
      <c r="L79" s="190"/>
      <c r="M79" s="203"/>
      <c r="N79" s="203" t="s">
        <v>1588</v>
      </c>
      <c r="O79" s="183">
        <v>3122170822</v>
      </c>
      <c r="P79" s="203"/>
      <c r="Q79" s="203" t="s">
        <v>554</v>
      </c>
      <c r="R79" s="203"/>
      <c r="S79" s="203"/>
      <c r="T79" s="203"/>
      <c r="U79" s="228" t="s">
        <v>160</v>
      </c>
      <c r="V79" s="154" t="s">
        <v>210</v>
      </c>
    </row>
    <row r="80" spans="1:22" hidden="1">
      <c r="A80" s="206"/>
      <c r="B80" s="206"/>
      <c r="C80" s="206"/>
      <c r="D80" s="200"/>
      <c r="E80" s="200">
        <v>4</v>
      </c>
      <c r="F80" s="200" t="s">
        <v>1563</v>
      </c>
      <c r="G80" s="200" t="s">
        <v>151</v>
      </c>
      <c r="H80" s="183" t="s">
        <v>554</v>
      </c>
      <c r="I80" s="183" t="s">
        <v>559</v>
      </c>
      <c r="J80" s="183">
        <v>1214737579</v>
      </c>
      <c r="K80" s="203" t="s">
        <v>1191</v>
      </c>
      <c r="L80" s="191"/>
      <c r="M80" s="200"/>
      <c r="N80" s="203" t="s">
        <v>1588</v>
      </c>
      <c r="O80" s="183">
        <v>3114187023</v>
      </c>
      <c r="P80" s="200"/>
      <c r="Q80" s="203" t="s">
        <v>554</v>
      </c>
      <c r="R80" s="200"/>
      <c r="S80" s="200"/>
      <c r="T80" s="200"/>
      <c r="U80" s="224" t="s">
        <v>160</v>
      </c>
      <c r="V80" s="154" t="s">
        <v>210</v>
      </c>
    </row>
    <row r="81" spans="1:22">
      <c r="A81" s="206"/>
      <c r="B81" s="206"/>
      <c r="C81" s="206"/>
      <c r="D81" s="814" t="s">
        <v>2290</v>
      </c>
      <c r="E81" s="754">
        <v>4</v>
      </c>
      <c r="F81" s="754" t="s">
        <v>1563</v>
      </c>
      <c r="G81" s="754" t="s">
        <v>151</v>
      </c>
      <c r="H81" s="809" t="s">
        <v>560</v>
      </c>
      <c r="I81" s="809" t="s">
        <v>562</v>
      </c>
      <c r="J81" s="809"/>
      <c r="K81" s="754" t="s">
        <v>1191</v>
      </c>
      <c r="L81" s="812"/>
      <c r="M81" s="754"/>
      <c r="N81" s="754" t="s">
        <v>1588</v>
      </c>
      <c r="O81" s="809">
        <v>3234590454</v>
      </c>
      <c r="P81" s="809"/>
      <c r="Q81" s="754" t="s">
        <v>1629</v>
      </c>
      <c r="R81" s="754"/>
      <c r="S81" s="754"/>
      <c r="T81" s="754"/>
      <c r="U81" s="813" t="s">
        <v>166</v>
      </c>
      <c r="V81" s="754" t="s">
        <v>210</v>
      </c>
    </row>
    <row r="82" spans="1:22" hidden="1">
      <c r="A82" s="206"/>
      <c r="B82" s="206"/>
      <c r="C82" s="206"/>
      <c r="D82" s="187"/>
      <c r="E82" s="204">
        <v>4</v>
      </c>
      <c r="F82" s="204" t="s">
        <v>1563</v>
      </c>
      <c r="G82" s="204" t="s">
        <v>151</v>
      </c>
      <c r="H82" s="209" t="s">
        <v>560</v>
      </c>
      <c r="I82" s="209" t="s">
        <v>561</v>
      </c>
      <c r="J82" s="209"/>
      <c r="K82" s="204" t="s">
        <v>1191</v>
      </c>
      <c r="L82" s="192"/>
      <c r="M82" s="204"/>
      <c r="N82" s="204" t="s">
        <v>1588</v>
      </c>
      <c r="O82" s="209">
        <v>3127388383</v>
      </c>
      <c r="P82" s="209"/>
      <c r="Q82" s="204" t="s">
        <v>1629</v>
      </c>
      <c r="R82" s="204"/>
      <c r="S82" s="204"/>
      <c r="T82" s="204"/>
      <c r="U82" s="229" t="s">
        <v>160</v>
      </c>
      <c r="V82" s="154" t="s">
        <v>210</v>
      </c>
    </row>
    <row r="83" spans="1:22" hidden="1">
      <c r="A83" s="206"/>
      <c r="B83" s="206"/>
      <c r="C83" s="206"/>
      <c r="D83" s="187"/>
      <c r="E83" s="195">
        <v>4</v>
      </c>
      <c r="F83" s="195" t="s">
        <v>1563</v>
      </c>
      <c r="G83" s="195" t="s">
        <v>151</v>
      </c>
      <c r="H83" s="209" t="s">
        <v>560</v>
      </c>
      <c r="I83" s="209" t="s">
        <v>563</v>
      </c>
      <c r="J83" s="209">
        <v>43005245</v>
      </c>
      <c r="K83" s="204" t="s">
        <v>1191</v>
      </c>
      <c r="L83" s="177">
        <v>20828</v>
      </c>
      <c r="M83" s="195">
        <f ca="1">DATEDIF(L83,TODAY(),"Y")</f>
        <v>69</v>
      </c>
      <c r="N83" s="204" t="s">
        <v>1588</v>
      </c>
      <c r="O83" s="209">
        <v>3172205058</v>
      </c>
      <c r="P83" s="213" t="s">
        <v>564</v>
      </c>
      <c r="Q83" s="204" t="s">
        <v>1629</v>
      </c>
      <c r="R83" s="195" t="s">
        <v>891</v>
      </c>
      <c r="S83" s="195" t="s">
        <v>663</v>
      </c>
      <c r="T83" s="195"/>
      <c r="U83" s="221" t="s">
        <v>160</v>
      </c>
      <c r="V83" s="154" t="s">
        <v>210</v>
      </c>
    </row>
    <row r="84" spans="1:22" hidden="1">
      <c r="A84" s="206"/>
      <c r="B84" s="206"/>
      <c r="C84" s="206"/>
      <c r="D84" s="187"/>
      <c r="E84" s="204">
        <v>4</v>
      </c>
      <c r="F84" s="204" t="s">
        <v>1563</v>
      </c>
      <c r="G84" s="204" t="s">
        <v>151</v>
      </c>
      <c r="H84" s="209" t="s">
        <v>560</v>
      </c>
      <c r="I84" s="209" t="s">
        <v>565</v>
      </c>
      <c r="J84" s="209"/>
      <c r="K84" s="204" t="s">
        <v>1187</v>
      </c>
      <c r="L84" s="192"/>
      <c r="M84" s="204"/>
      <c r="N84" s="204" t="s">
        <v>1588</v>
      </c>
      <c r="O84" s="209">
        <v>3165218442</v>
      </c>
      <c r="P84" s="209"/>
      <c r="Q84" s="204" t="s">
        <v>1629</v>
      </c>
      <c r="R84" s="204"/>
      <c r="S84" s="204"/>
      <c r="T84" s="204"/>
      <c r="U84" s="229" t="s">
        <v>160</v>
      </c>
      <c r="V84" s="154" t="s">
        <v>210</v>
      </c>
    </row>
    <row r="85" spans="1:22" hidden="1">
      <c r="A85" s="206"/>
      <c r="B85" s="206"/>
      <c r="C85" s="206"/>
      <c r="D85" s="187"/>
      <c r="E85" s="204">
        <v>4</v>
      </c>
      <c r="F85" s="204" t="s">
        <v>1563</v>
      </c>
      <c r="G85" s="204" t="s">
        <v>151</v>
      </c>
      <c r="H85" s="209" t="s">
        <v>560</v>
      </c>
      <c r="I85" s="209" t="s">
        <v>566</v>
      </c>
      <c r="J85" s="209">
        <v>43067427</v>
      </c>
      <c r="K85" s="204" t="s">
        <v>1191</v>
      </c>
      <c r="L85" s="192">
        <v>22378</v>
      </c>
      <c r="M85" s="204">
        <f t="shared" ref="M85:M93" ca="1" si="4">DATEDIF(L85,TODAY(),"Y")</f>
        <v>65</v>
      </c>
      <c r="N85" s="204" t="s">
        <v>1588</v>
      </c>
      <c r="O85" s="209">
        <v>3122439051</v>
      </c>
      <c r="P85" s="213" t="s">
        <v>567</v>
      </c>
      <c r="Q85" s="204" t="s">
        <v>1629</v>
      </c>
      <c r="R85" s="204" t="s">
        <v>891</v>
      </c>
      <c r="S85" s="204" t="s">
        <v>663</v>
      </c>
      <c r="T85" s="204"/>
      <c r="U85" s="229" t="s">
        <v>160</v>
      </c>
      <c r="V85" s="154" t="s">
        <v>210</v>
      </c>
    </row>
    <row r="86" spans="1:22">
      <c r="A86" s="206"/>
      <c r="B86" s="206"/>
      <c r="C86" s="206"/>
      <c r="D86" s="814" t="s">
        <v>2290</v>
      </c>
      <c r="E86" s="755">
        <v>4</v>
      </c>
      <c r="F86" s="755" t="s">
        <v>1563</v>
      </c>
      <c r="G86" s="755" t="s">
        <v>151</v>
      </c>
      <c r="H86" s="809" t="s">
        <v>568</v>
      </c>
      <c r="I86" s="809" t="s">
        <v>573</v>
      </c>
      <c r="J86" s="755"/>
      <c r="K86" s="754" t="s">
        <v>1187</v>
      </c>
      <c r="L86" s="765"/>
      <c r="M86" s="755">
        <f t="shared" ca="1" si="4"/>
        <v>126</v>
      </c>
      <c r="N86" s="755" t="s">
        <v>1588</v>
      </c>
      <c r="O86" s="809">
        <v>3045331330</v>
      </c>
      <c r="P86" s="755"/>
      <c r="Q86" s="755" t="s">
        <v>568</v>
      </c>
      <c r="R86" s="755"/>
      <c r="S86" s="755"/>
      <c r="T86" s="755"/>
      <c r="U86" s="760" t="s">
        <v>166</v>
      </c>
      <c r="V86" s="754" t="s">
        <v>210</v>
      </c>
    </row>
    <row r="87" spans="1:22" hidden="1">
      <c r="A87" s="206"/>
      <c r="B87" s="206"/>
      <c r="C87" s="206"/>
      <c r="D87" s="218"/>
      <c r="E87" s="196">
        <v>4</v>
      </c>
      <c r="F87" s="196" t="s">
        <v>1563</v>
      </c>
      <c r="G87" s="196" t="s">
        <v>151</v>
      </c>
      <c r="H87" s="214" t="s">
        <v>568</v>
      </c>
      <c r="I87" s="214" t="s">
        <v>569</v>
      </c>
      <c r="J87" s="196"/>
      <c r="K87" s="188" t="s">
        <v>1191</v>
      </c>
      <c r="L87" s="178"/>
      <c r="M87" s="196">
        <f t="shared" ca="1" si="4"/>
        <v>126</v>
      </c>
      <c r="N87" s="196" t="s">
        <v>1588</v>
      </c>
      <c r="O87" s="214">
        <v>3168206925</v>
      </c>
      <c r="P87" s="196"/>
      <c r="Q87" s="196" t="s">
        <v>568</v>
      </c>
      <c r="R87" s="196"/>
      <c r="S87" s="196"/>
      <c r="T87" s="196"/>
      <c r="U87" s="222" t="s">
        <v>160</v>
      </c>
      <c r="V87" s="154" t="s">
        <v>210</v>
      </c>
    </row>
    <row r="88" spans="1:22" hidden="1">
      <c r="D88" s="218"/>
      <c r="E88" s="196">
        <v>4</v>
      </c>
      <c r="F88" s="196" t="s">
        <v>1563</v>
      </c>
      <c r="G88" s="196" t="s">
        <v>151</v>
      </c>
      <c r="H88" s="214" t="s">
        <v>568</v>
      </c>
      <c r="I88" s="214" t="s">
        <v>570</v>
      </c>
      <c r="J88" s="196"/>
      <c r="K88" s="188" t="s">
        <v>1191</v>
      </c>
      <c r="L88" s="178"/>
      <c r="M88" s="196">
        <f t="shared" ca="1" si="4"/>
        <v>126</v>
      </c>
      <c r="N88" s="196" t="s">
        <v>1588</v>
      </c>
      <c r="O88" s="214">
        <v>3136497682</v>
      </c>
      <c r="P88" s="196"/>
      <c r="Q88" s="196" t="s">
        <v>568</v>
      </c>
      <c r="R88" s="196"/>
      <c r="S88" s="196"/>
      <c r="T88" s="196"/>
      <c r="U88" s="222" t="s">
        <v>160</v>
      </c>
      <c r="V88" s="154" t="s">
        <v>210</v>
      </c>
    </row>
    <row r="89" spans="1:22" hidden="1">
      <c r="D89" s="218"/>
      <c r="E89" s="196">
        <v>4</v>
      </c>
      <c r="F89" s="196" t="s">
        <v>1563</v>
      </c>
      <c r="G89" s="196" t="s">
        <v>151</v>
      </c>
      <c r="H89" s="214" t="s">
        <v>568</v>
      </c>
      <c r="I89" s="214" t="s">
        <v>571</v>
      </c>
      <c r="J89" s="196"/>
      <c r="K89" s="188" t="s">
        <v>1191</v>
      </c>
      <c r="L89" s="178"/>
      <c r="M89" s="196">
        <f t="shared" ca="1" si="4"/>
        <v>126</v>
      </c>
      <c r="N89" s="196" t="s">
        <v>1588</v>
      </c>
      <c r="O89" s="214">
        <v>3206254336</v>
      </c>
      <c r="P89" s="196"/>
      <c r="Q89" s="196" t="s">
        <v>568</v>
      </c>
      <c r="R89" s="196"/>
      <c r="S89" s="196"/>
      <c r="T89" s="196"/>
      <c r="U89" s="222" t="s">
        <v>160</v>
      </c>
      <c r="V89" s="154" t="s">
        <v>210</v>
      </c>
    </row>
    <row r="90" spans="1:22" hidden="1">
      <c r="D90" s="218"/>
      <c r="E90" s="196">
        <v>4</v>
      </c>
      <c r="F90" s="196" t="s">
        <v>1563</v>
      </c>
      <c r="G90" s="196" t="s">
        <v>151</v>
      </c>
      <c r="H90" s="214" t="s">
        <v>568</v>
      </c>
      <c r="I90" s="214" t="s">
        <v>572</v>
      </c>
      <c r="J90" s="196"/>
      <c r="K90" s="188" t="s">
        <v>1191</v>
      </c>
      <c r="L90" s="178"/>
      <c r="M90" s="196">
        <f t="shared" ca="1" si="4"/>
        <v>126</v>
      </c>
      <c r="N90" s="196" t="s">
        <v>1588</v>
      </c>
      <c r="O90" s="214">
        <v>3206925070</v>
      </c>
      <c r="P90" s="196"/>
      <c r="Q90" s="196" t="s">
        <v>568</v>
      </c>
      <c r="R90" s="196"/>
      <c r="S90" s="196"/>
      <c r="T90" s="196"/>
      <c r="U90" s="222" t="s">
        <v>160</v>
      </c>
      <c r="V90" s="154" t="s">
        <v>210</v>
      </c>
    </row>
    <row r="91" spans="1:22" hidden="1">
      <c r="D91" s="218"/>
      <c r="E91" s="196">
        <v>4</v>
      </c>
      <c r="F91" s="196" t="s">
        <v>1563</v>
      </c>
      <c r="G91" s="196" t="s">
        <v>151</v>
      </c>
      <c r="H91" s="214" t="s">
        <v>568</v>
      </c>
      <c r="I91" s="214" t="s">
        <v>574</v>
      </c>
      <c r="J91" s="196"/>
      <c r="K91" s="188" t="s">
        <v>1187</v>
      </c>
      <c r="L91" s="178"/>
      <c r="M91" s="196">
        <f t="shared" ca="1" si="4"/>
        <v>126</v>
      </c>
      <c r="N91" s="196" t="s">
        <v>1588</v>
      </c>
      <c r="O91" s="214">
        <v>3106114040</v>
      </c>
      <c r="P91" s="196"/>
      <c r="Q91" s="196" t="s">
        <v>568</v>
      </c>
      <c r="R91" s="196"/>
      <c r="S91" s="196"/>
      <c r="T91" s="196"/>
      <c r="U91" s="222" t="s">
        <v>160</v>
      </c>
      <c r="V91" s="154" t="s">
        <v>210</v>
      </c>
    </row>
    <row r="92" spans="1:22" hidden="1">
      <c r="A92" s="206"/>
      <c r="B92" s="206"/>
      <c r="C92" s="206"/>
      <c r="D92" s="218"/>
      <c r="E92" s="196">
        <v>4</v>
      </c>
      <c r="F92" s="196" t="s">
        <v>1563</v>
      </c>
      <c r="G92" s="196" t="s">
        <v>151</v>
      </c>
      <c r="H92" s="214" t="s">
        <v>568</v>
      </c>
      <c r="I92" s="214" t="s">
        <v>575</v>
      </c>
      <c r="J92" s="196"/>
      <c r="K92" s="188" t="s">
        <v>1191</v>
      </c>
      <c r="L92" s="178"/>
      <c r="M92" s="196">
        <f t="shared" ca="1" si="4"/>
        <v>126</v>
      </c>
      <c r="N92" s="196" t="s">
        <v>1588</v>
      </c>
      <c r="O92" s="214">
        <v>3103356502</v>
      </c>
      <c r="P92" s="196"/>
      <c r="Q92" s="196" t="s">
        <v>568</v>
      </c>
      <c r="R92" s="196"/>
      <c r="S92" s="196"/>
      <c r="T92" s="196"/>
      <c r="U92" s="222" t="s">
        <v>160</v>
      </c>
      <c r="V92" s="154" t="s">
        <v>210</v>
      </c>
    </row>
    <row r="93" spans="1:22" hidden="1">
      <c r="A93" s="206"/>
      <c r="B93" s="206"/>
      <c r="C93" s="206"/>
      <c r="D93" s="218"/>
      <c r="E93" s="196">
        <v>4</v>
      </c>
      <c r="F93" s="196" t="s">
        <v>1563</v>
      </c>
      <c r="G93" s="196" t="s">
        <v>151</v>
      </c>
      <c r="H93" s="214" t="s">
        <v>568</v>
      </c>
      <c r="I93" s="214" t="s">
        <v>576</v>
      </c>
      <c r="J93" s="196"/>
      <c r="K93" s="188" t="s">
        <v>1191</v>
      </c>
      <c r="L93" s="178"/>
      <c r="M93" s="196">
        <f t="shared" ca="1" si="4"/>
        <v>126</v>
      </c>
      <c r="N93" s="196" t="s">
        <v>1588</v>
      </c>
      <c r="O93" s="214">
        <v>3218210543</v>
      </c>
      <c r="P93" s="196"/>
      <c r="Q93" s="196" t="s">
        <v>568</v>
      </c>
      <c r="R93" s="196"/>
      <c r="S93" s="196"/>
      <c r="T93" s="196"/>
      <c r="U93" s="222" t="s">
        <v>160</v>
      </c>
      <c r="V93" s="154" t="s">
        <v>210</v>
      </c>
    </row>
    <row r="94" spans="1:22">
      <c r="A94" s="206"/>
      <c r="D94" s="137" t="s">
        <v>2290</v>
      </c>
      <c r="E94" s="137">
        <v>4</v>
      </c>
      <c r="F94" s="137" t="s">
        <v>1563</v>
      </c>
      <c r="G94" s="137" t="s">
        <v>151</v>
      </c>
      <c r="H94" s="189" t="s">
        <v>577</v>
      </c>
      <c r="I94" s="189" t="s">
        <v>578</v>
      </c>
      <c r="J94" s="137"/>
      <c r="K94" s="202" t="s">
        <v>1187</v>
      </c>
      <c r="L94" s="179"/>
      <c r="M94" s="137"/>
      <c r="N94" s="137" t="s">
        <v>1588</v>
      </c>
      <c r="O94" s="189">
        <v>3117494653</v>
      </c>
      <c r="P94" s="137"/>
      <c r="Q94" s="137" t="s">
        <v>1897</v>
      </c>
      <c r="R94" s="137"/>
      <c r="S94" s="137"/>
      <c r="T94" s="189">
        <v>2024</v>
      </c>
      <c r="U94" s="223" t="s">
        <v>160</v>
      </c>
      <c r="V94" s="154" t="s">
        <v>210</v>
      </c>
    </row>
    <row r="95" spans="1:22" hidden="1">
      <c r="A95" s="206"/>
      <c r="D95" s="137"/>
      <c r="E95" s="137">
        <v>4</v>
      </c>
      <c r="F95" s="137" t="s">
        <v>1563</v>
      </c>
      <c r="G95" s="137" t="s">
        <v>151</v>
      </c>
      <c r="H95" s="189" t="s">
        <v>577</v>
      </c>
      <c r="I95" s="189" t="s">
        <v>579</v>
      </c>
      <c r="J95" s="137"/>
      <c r="K95" s="202" t="s">
        <v>1187</v>
      </c>
      <c r="L95" s="179"/>
      <c r="M95" s="137"/>
      <c r="N95" s="137" t="s">
        <v>1588</v>
      </c>
      <c r="O95" s="189">
        <v>3011961068</v>
      </c>
      <c r="P95" s="137"/>
      <c r="Q95" s="137" t="s">
        <v>1897</v>
      </c>
      <c r="R95" s="137"/>
      <c r="S95" s="137"/>
      <c r="T95" s="189">
        <v>2024</v>
      </c>
      <c r="U95" s="223" t="s">
        <v>160</v>
      </c>
      <c r="V95" s="154" t="s">
        <v>210</v>
      </c>
    </row>
    <row r="96" spans="1:22" hidden="1">
      <c r="A96" s="206"/>
      <c r="D96" s="137"/>
      <c r="E96" s="137">
        <v>4</v>
      </c>
      <c r="F96" s="137" t="s">
        <v>1563</v>
      </c>
      <c r="G96" s="137" t="s">
        <v>151</v>
      </c>
      <c r="H96" s="189" t="s">
        <v>577</v>
      </c>
      <c r="I96" s="189" t="s">
        <v>580</v>
      </c>
      <c r="J96" s="137"/>
      <c r="K96" s="202" t="s">
        <v>1187</v>
      </c>
      <c r="L96" s="179"/>
      <c r="M96" s="137"/>
      <c r="N96" s="137" t="s">
        <v>1588</v>
      </c>
      <c r="O96" s="189">
        <v>3147003516</v>
      </c>
      <c r="P96" s="137"/>
      <c r="Q96" s="137" t="s">
        <v>1897</v>
      </c>
      <c r="R96" s="137"/>
      <c r="S96" s="137"/>
      <c r="T96" s="189">
        <v>2024</v>
      </c>
      <c r="U96" s="223" t="s">
        <v>160</v>
      </c>
      <c r="V96" s="154" t="s">
        <v>210</v>
      </c>
    </row>
    <row r="97" spans="1:22" hidden="1">
      <c r="A97" s="206"/>
      <c r="D97" s="137"/>
      <c r="E97" s="137">
        <v>4</v>
      </c>
      <c r="F97" s="137" t="s">
        <v>1563</v>
      </c>
      <c r="G97" s="137" t="s">
        <v>151</v>
      </c>
      <c r="H97" s="189" t="s">
        <v>577</v>
      </c>
      <c r="I97" s="189" t="s">
        <v>581</v>
      </c>
      <c r="J97" s="137"/>
      <c r="K97" s="202" t="s">
        <v>1187</v>
      </c>
      <c r="L97" s="179"/>
      <c r="M97" s="137"/>
      <c r="N97" s="137" t="s">
        <v>1588</v>
      </c>
      <c r="O97" s="189">
        <v>3127279984</v>
      </c>
      <c r="P97" s="137"/>
      <c r="Q97" s="137" t="s">
        <v>1897</v>
      </c>
      <c r="R97" s="137"/>
      <c r="S97" s="137"/>
      <c r="T97" s="189">
        <v>2024</v>
      </c>
      <c r="U97" s="223" t="s">
        <v>160</v>
      </c>
      <c r="V97" s="154" t="s">
        <v>210</v>
      </c>
    </row>
    <row r="98" spans="1:22" hidden="1">
      <c r="A98" s="206"/>
      <c r="D98" s="137"/>
      <c r="E98" s="137">
        <v>4</v>
      </c>
      <c r="F98" s="137" t="s">
        <v>1563</v>
      </c>
      <c r="G98" s="137" t="s">
        <v>151</v>
      </c>
      <c r="H98" s="189" t="s">
        <v>577</v>
      </c>
      <c r="I98" s="189" t="s">
        <v>582</v>
      </c>
      <c r="J98" s="137"/>
      <c r="K98" s="202" t="s">
        <v>1187</v>
      </c>
      <c r="L98" s="179"/>
      <c r="M98" s="137"/>
      <c r="N98" s="137" t="s">
        <v>1588</v>
      </c>
      <c r="O98" s="189">
        <v>3218681182</v>
      </c>
      <c r="P98" s="137"/>
      <c r="Q98" s="137" t="s">
        <v>1897</v>
      </c>
      <c r="R98" s="137"/>
      <c r="S98" s="137"/>
      <c r="T98" s="189">
        <v>2024</v>
      </c>
      <c r="U98" s="223" t="s">
        <v>160</v>
      </c>
      <c r="V98" s="154" t="s">
        <v>210</v>
      </c>
    </row>
    <row r="99" spans="1:22" hidden="1">
      <c r="A99" s="206"/>
      <c r="D99" s="137"/>
      <c r="E99" s="137">
        <v>4</v>
      </c>
      <c r="F99" s="137" t="s">
        <v>1563</v>
      </c>
      <c r="G99" s="137" t="s">
        <v>151</v>
      </c>
      <c r="H99" s="189" t="s">
        <v>577</v>
      </c>
      <c r="I99" s="189" t="s">
        <v>583</v>
      </c>
      <c r="J99" s="137"/>
      <c r="K99" s="202" t="s">
        <v>1187</v>
      </c>
      <c r="L99" s="179"/>
      <c r="M99" s="137"/>
      <c r="N99" s="137" t="s">
        <v>1588</v>
      </c>
      <c r="O99" s="189">
        <v>3002389910</v>
      </c>
      <c r="P99" s="137"/>
      <c r="Q99" s="137" t="s">
        <v>1897</v>
      </c>
      <c r="R99" s="137"/>
      <c r="S99" s="137"/>
      <c r="T99" s="189">
        <v>2024</v>
      </c>
      <c r="U99" s="223" t="s">
        <v>160</v>
      </c>
      <c r="V99" s="154" t="s">
        <v>210</v>
      </c>
    </row>
    <row r="100" spans="1:22">
      <c r="A100" s="206"/>
      <c r="D100" s="755" t="s">
        <v>2290</v>
      </c>
      <c r="E100" s="755">
        <v>4</v>
      </c>
      <c r="F100" s="755" t="s">
        <v>1563</v>
      </c>
      <c r="G100" s="755" t="s">
        <v>151</v>
      </c>
      <c r="H100" s="809" t="s">
        <v>584</v>
      </c>
      <c r="I100" s="809" t="s">
        <v>585</v>
      </c>
      <c r="J100" s="755"/>
      <c r="K100" s="754" t="s">
        <v>1191</v>
      </c>
      <c r="L100" s="765"/>
      <c r="M100" s="755"/>
      <c r="N100" s="755" t="s">
        <v>1588</v>
      </c>
      <c r="O100" s="809">
        <v>3108422088</v>
      </c>
      <c r="P100" s="755"/>
      <c r="Q100" s="755" t="s">
        <v>1626</v>
      </c>
      <c r="R100" s="755"/>
      <c r="S100" s="755"/>
      <c r="T100" s="809">
        <v>2024</v>
      </c>
      <c r="U100" s="760" t="s">
        <v>160</v>
      </c>
      <c r="V100" s="754" t="s">
        <v>210</v>
      </c>
    </row>
    <row r="101" spans="1:22" hidden="1">
      <c r="A101" s="206"/>
      <c r="D101" s="200"/>
      <c r="E101" s="200">
        <v>4</v>
      </c>
      <c r="F101" s="200" t="s">
        <v>1563</v>
      </c>
      <c r="G101" s="200" t="s">
        <v>151</v>
      </c>
      <c r="H101" s="183" t="s">
        <v>584</v>
      </c>
      <c r="I101" s="183" t="s">
        <v>586</v>
      </c>
      <c r="J101" s="200"/>
      <c r="K101" s="203" t="s">
        <v>1191</v>
      </c>
      <c r="L101" s="191"/>
      <c r="M101" s="200"/>
      <c r="N101" s="200" t="s">
        <v>1588</v>
      </c>
      <c r="O101" s="183">
        <v>3113125534</v>
      </c>
      <c r="P101" s="200"/>
      <c r="Q101" s="200" t="s">
        <v>1626</v>
      </c>
      <c r="R101" s="200"/>
      <c r="S101" s="200"/>
      <c r="T101" s="183">
        <v>2024</v>
      </c>
      <c r="U101" s="224" t="s">
        <v>160</v>
      </c>
      <c r="V101" s="154" t="s">
        <v>210</v>
      </c>
    </row>
    <row r="102" spans="1:22" hidden="1">
      <c r="A102" s="206"/>
      <c r="B102" s="206"/>
      <c r="C102" s="206"/>
      <c r="D102" s="200"/>
      <c r="E102" s="200">
        <v>4</v>
      </c>
      <c r="F102" s="200" t="s">
        <v>1563</v>
      </c>
      <c r="G102" s="200" t="s">
        <v>151</v>
      </c>
      <c r="H102" s="183" t="s">
        <v>584</v>
      </c>
      <c r="I102" s="183" t="s">
        <v>587</v>
      </c>
      <c r="J102" s="200"/>
      <c r="K102" s="203" t="s">
        <v>1191</v>
      </c>
      <c r="L102" s="191"/>
      <c r="M102" s="200"/>
      <c r="N102" s="200" t="s">
        <v>1588</v>
      </c>
      <c r="O102" s="183">
        <v>3207500249</v>
      </c>
      <c r="P102" s="200"/>
      <c r="Q102" s="200" t="s">
        <v>1626</v>
      </c>
      <c r="R102" s="200"/>
      <c r="S102" s="200"/>
      <c r="T102" s="183">
        <v>2024</v>
      </c>
      <c r="U102" s="224" t="s">
        <v>160</v>
      </c>
      <c r="V102" s="154" t="s">
        <v>210</v>
      </c>
    </row>
    <row r="103" spans="1:22" hidden="1">
      <c r="A103" s="216"/>
      <c r="B103" s="216"/>
      <c r="C103" s="216"/>
      <c r="D103" s="200"/>
      <c r="E103" s="200">
        <v>4</v>
      </c>
      <c r="F103" s="200" t="s">
        <v>1563</v>
      </c>
      <c r="G103" s="200" t="s">
        <v>151</v>
      </c>
      <c r="H103" s="183" t="s">
        <v>584</v>
      </c>
      <c r="I103" s="183" t="s">
        <v>588</v>
      </c>
      <c r="J103" s="200"/>
      <c r="K103" s="203" t="s">
        <v>1191</v>
      </c>
      <c r="L103" s="191"/>
      <c r="M103" s="200"/>
      <c r="N103" s="200" t="s">
        <v>1588</v>
      </c>
      <c r="O103" s="183">
        <v>3003179719</v>
      </c>
      <c r="P103" s="200"/>
      <c r="Q103" s="200" t="s">
        <v>1626</v>
      </c>
      <c r="R103" s="200"/>
      <c r="S103" s="200"/>
      <c r="T103" s="183">
        <v>2024</v>
      </c>
      <c r="U103" s="224" t="s">
        <v>160</v>
      </c>
      <c r="V103" s="154" t="s">
        <v>210</v>
      </c>
    </row>
    <row r="104" spans="1:22" hidden="1">
      <c r="A104" s="216"/>
      <c r="B104" s="216"/>
      <c r="C104" s="216"/>
      <c r="D104" s="200"/>
      <c r="E104" s="200">
        <v>4</v>
      </c>
      <c r="F104" s="200" t="s">
        <v>1563</v>
      </c>
      <c r="G104" s="200" t="s">
        <v>151</v>
      </c>
      <c r="H104" s="183" t="s">
        <v>584</v>
      </c>
      <c r="I104" s="183" t="s">
        <v>589</v>
      </c>
      <c r="J104" s="200"/>
      <c r="K104" s="203" t="s">
        <v>1191</v>
      </c>
      <c r="L104" s="191"/>
      <c r="M104" s="200"/>
      <c r="N104" s="200" t="s">
        <v>1588</v>
      </c>
      <c r="O104" s="183">
        <v>3104243920</v>
      </c>
      <c r="P104" s="200"/>
      <c r="Q104" s="200" t="s">
        <v>1626</v>
      </c>
      <c r="R104" s="200"/>
      <c r="S104" s="200"/>
      <c r="T104" s="183">
        <v>2024</v>
      </c>
      <c r="U104" s="224" t="s">
        <v>160</v>
      </c>
      <c r="V104" s="154" t="s">
        <v>210</v>
      </c>
    </row>
    <row r="105" spans="1:22" hidden="1">
      <c r="A105" s="216"/>
      <c r="B105" s="216"/>
      <c r="C105" s="216"/>
      <c r="D105" s="200"/>
      <c r="E105" s="200">
        <v>4</v>
      </c>
      <c r="F105" s="200" t="s">
        <v>1563</v>
      </c>
      <c r="G105" s="200" t="s">
        <v>151</v>
      </c>
      <c r="H105" s="183" t="s">
        <v>584</v>
      </c>
      <c r="I105" s="183" t="s">
        <v>590</v>
      </c>
      <c r="J105" s="200"/>
      <c r="K105" s="203" t="s">
        <v>1187</v>
      </c>
      <c r="L105" s="191"/>
      <c r="M105" s="200"/>
      <c r="N105" s="200" t="s">
        <v>1588</v>
      </c>
      <c r="O105" s="183">
        <v>3045887897</v>
      </c>
      <c r="P105" s="200"/>
      <c r="Q105" s="200" t="s">
        <v>1626</v>
      </c>
      <c r="R105" s="200"/>
      <c r="S105" s="200"/>
      <c r="T105" s="183">
        <v>2024</v>
      </c>
      <c r="U105" s="224" t="s">
        <v>160</v>
      </c>
      <c r="V105" s="154" t="s">
        <v>210</v>
      </c>
    </row>
    <row r="106" spans="1:22">
      <c r="A106" s="216"/>
      <c r="B106" s="216"/>
      <c r="C106" s="216"/>
      <c r="D106" s="815" t="s">
        <v>2290</v>
      </c>
      <c r="E106" s="755">
        <v>4</v>
      </c>
      <c r="F106" s="755" t="s">
        <v>1563</v>
      </c>
      <c r="G106" s="755" t="s">
        <v>151</v>
      </c>
      <c r="H106" s="809" t="s">
        <v>591</v>
      </c>
      <c r="I106" s="809" t="s">
        <v>594</v>
      </c>
      <c r="J106" s="755"/>
      <c r="K106" s="754" t="s">
        <v>1191</v>
      </c>
      <c r="L106" s="765"/>
      <c r="M106" s="755"/>
      <c r="N106" s="755" t="s">
        <v>1588</v>
      </c>
      <c r="O106" s="809">
        <v>3206603458</v>
      </c>
      <c r="P106" s="755"/>
      <c r="Q106" s="755" t="s">
        <v>591</v>
      </c>
      <c r="R106" s="755"/>
      <c r="S106" s="755"/>
      <c r="T106" s="809">
        <v>2024</v>
      </c>
      <c r="U106" s="760" t="s">
        <v>166</v>
      </c>
      <c r="V106" s="754" t="s">
        <v>210</v>
      </c>
    </row>
    <row r="107" spans="1:22" hidden="1">
      <c r="A107" s="216"/>
      <c r="B107" s="216"/>
      <c r="C107" s="216"/>
      <c r="D107" s="187"/>
      <c r="E107" s="195">
        <v>4</v>
      </c>
      <c r="F107" s="195" t="s">
        <v>1563</v>
      </c>
      <c r="G107" s="195" t="s">
        <v>151</v>
      </c>
      <c r="H107" s="187" t="s">
        <v>591</v>
      </c>
      <c r="I107" s="195" t="s">
        <v>592</v>
      </c>
      <c r="J107" s="195"/>
      <c r="K107" s="195" t="s">
        <v>1191</v>
      </c>
      <c r="L107" s="187"/>
      <c r="M107" s="195"/>
      <c r="N107" s="195" t="s">
        <v>1588</v>
      </c>
      <c r="O107" s="195"/>
      <c r="P107" s="187"/>
      <c r="Q107" s="195" t="s">
        <v>591</v>
      </c>
      <c r="R107" s="195"/>
      <c r="S107" s="195"/>
      <c r="T107" s="187">
        <v>2024</v>
      </c>
      <c r="U107" s="195" t="s">
        <v>160</v>
      </c>
      <c r="V107" s="195" t="s">
        <v>210</v>
      </c>
    </row>
    <row r="108" spans="1:22" hidden="1">
      <c r="A108" s="216"/>
      <c r="B108" s="216"/>
      <c r="C108" s="216"/>
      <c r="D108" s="187"/>
      <c r="E108" s="195">
        <v>4</v>
      </c>
      <c r="F108" s="195" t="s">
        <v>1563</v>
      </c>
      <c r="G108" s="195" t="s">
        <v>151</v>
      </c>
      <c r="H108" s="187" t="s">
        <v>591</v>
      </c>
      <c r="I108" s="195" t="s">
        <v>593</v>
      </c>
      <c r="J108" s="195"/>
      <c r="K108" s="195" t="s">
        <v>1191</v>
      </c>
      <c r="L108" s="187"/>
      <c r="M108" s="195"/>
      <c r="N108" s="195" t="s">
        <v>1588</v>
      </c>
      <c r="O108" s="195">
        <v>3116056870</v>
      </c>
      <c r="P108" s="187"/>
      <c r="Q108" s="195" t="s">
        <v>591</v>
      </c>
      <c r="R108" s="195"/>
      <c r="S108" s="195"/>
      <c r="T108" s="187">
        <v>2024</v>
      </c>
      <c r="U108" s="195" t="s">
        <v>160</v>
      </c>
      <c r="V108" s="195" t="s">
        <v>210</v>
      </c>
    </row>
    <row r="109" spans="1:22" hidden="1">
      <c r="A109" s="216"/>
      <c r="B109" s="216"/>
      <c r="C109" s="216"/>
      <c r="D109" s="187"/>
      <c r="E109" s="195">
        <v>4</v>
      </c>
      <c r="F109" s="195" t="s">
        <v>1563</v>
      </c>
      <c r="G109" s="195" t="s">
        <v>151</v>
      </c>
      <c r="H109" s="209" t="s">
        <v>591</v>
      </c>
      <c r="I109" s="209" t="s">
        <v>595</v>
      </c>
      <c r="J109" s="195"/>
      <c r="K109" s="204" t="s">
        <v>1191</v>
      </c>
      <c r="L109" s="177"/>
      <c r="M109" s="195"/>
      <c r="N109" s="195" t="s">
        <v>1588</v>
      </c>
      <c r="O109" s="209">
        <v>3105149666</v>
      </c>
      <c r="P109" s="195"/>
      <c r="Q109" s="195" t="s">
        <v>591</v>
      </c>
      <c r="R109" s="195"/>
      <c r="S109" s="195"/>
      <c r="T109" s="209">
        <v>2024</v>
      </c>
      <c r="U109" s="221" t="s">
        <v>160</v>
      </c>
      <c r="V109" s="154" t="s">
        <v>210</v>
      </c>
    </row>
    <row r="110" spans="1:22" hidden="1">
      <c r="A110" s="216"/>
      <c r="B110" s="216"/>
      <c r="C110" s="216"/>
      <c r="D110" s="187"/>
      <c r="E110" s="195">
        <v>4</v>
      </c>
      <c r="F110" s="195" t="s">
        <v>1563</v>
      </c>
      <c r="G110" s="195" t="s">
        <v>151</v>
      </c>
      <c r="H110" s="209" t="s">
        <v>591</v>
      </c>
      <c r="I110" s="209" t="s">
        <v>596</v>
      </c>
      <c r="J110" s="195"/>
      <c r="K110" s="204" t="s">
        <v>1187</v>
      </c>
      <c r="L110" s="177"/>
      <c r="M110" s="195"/>
      <c r="N110" s="195" t="s">
        <v>1588</v>
      </c>
      <c r="O110" s="209">
        <v>3205895245</v>
      </c>
      <c r="P110" s="195"/>
      <c r="Q110" s="195" t="s">
        <v>591</v>
      </c>
      <c r="R110" s="195"/>
      <c r="S110" s="195"/>
      <c r="T110" s="209">
        <v>2024</v>
      </c>
      <c r="U110" s="221" t="s">
        <v>160</v>
      </c>
      <c r="V110" s="154" t="s">
        <v>210</v>
      </c>
    </row>
    <row r="111" spans="1:22" hidden="1">
      <c r="A111" s="206"/>
      <c r="B111" s="206"/>
      <c r="C111" s="206"/>
      <c r="D111" s="187"/>
      <c r="E111" s="195">
        <v>4</v>
      </c>
      <c r="F111" s="195" t="s">
        <v>1563</v>
      </c>
      <c r="G111" s="195" t="s">
        <v>151</v>
      </c>
      <c r="H111" s="209" t="s">
        <v>591</v>
      </c>
      <c r="I111" s="209" t="s">
        <v>597</v>
      </c>
      <c r="J111" s="195"/>
      <c r="K111" s="204" t="s">
        <v>1187</v>
      </c>
      <c r="L111" s="177"/>
      <c r="M111" s="195"/>
      <c r="N111" s="195" t="s">
        <v>1588</v>
      </c>
      <c r="O111" s="209">
        <v>3127749116</v>
      </c>
      <c r="P111" s="195"/>
      <c r="Q111" s="195" t="s">
        <v>591</v>
      </c>
      <c r="R111" s="195"/>
      <c r="S111" s="195"/>
      <c r="T111" s="209">
        <v>2024</v>
      </c>
      <c r="U111" s="221" t="s">
        <v>160</v>
      </c>
      <c r="V111" s="154" t="s">
        <v>210</v>
      </c>
    </row>
    <row r="112" spans="1:22">
      <c r="A112" s="206"/>
      <c r="B112" s="206"/>
      <c r="C112" s="206"/>
      <c r="D112" s="814" t="s">
        <v>2290</v>
      </c>
      <c r="E112" s="755">
        <v>4</v>
      </c>
      <c r="F112" s="755" t="s">
        <v>1563</v>
      </c>
      <c r="G112" s="755" t="s">
        <v>151</v>
      </c>
      <c r="H112" s="816" t="s">
        <v>598</v>
      </c>
      <c r="I112" s="816" t="s">
        <v>605</v>
      </c>
      <c r="J112" s="816">
        <v>32539148</v>
      </c>
      <c r="K112" s="754" t="s">
        <v>1191</v>
      </c>
      <c r="L112" s="765"/>
      <c r="M112" s="755"/>
      <c r="N112" s="755" t="s">
        <v>56</v>
      </c>
      <c r="O112" s="816">
        <v>3117082987</v>
      </c>
      <c r="P112" s="817" t="s">
        <v>606</v>
      </c>
      <c r="Q112" s="755" t="s">
        <v>1624</v>
      </c>
      <c r="R112" s="755" t="s">
        <v>876</v>
      </c>
      <c r="S112" s="755" t="s">
        <v>663</v>
      </c>
      <c r="T112" s="816">
        <v>2024</v>
      </c>
      <c r="U112" s="760" t="s">
        <v>166</v>
      </c>
      <c r="V112" s="754" t="s">
        <v>210</v>
      </c>
    </row>
    <row r="113" spans="1:22" hidden="1">
      <c r="A113" s="198"/>
      <c r="B113" s="198"/>
      <c r="C113" s="198"/>
      <c r="D113" s="218"/>
      <c r="E113" s="196">
        <v>4</v>
      </c>
      <c r="F113" s="196" t="s">
        <v>1563</v>
      </c>
      <c r="G113" s="196" t="s">
        <v>151</v>
      </c>
      <c r="H113" s="210" t="s">
        <v>598</v>
      </c>
      <c r="I113" s="210" t="s">
        <v>599</v>
      </c>
      <c r="J113" s="210">
        <v>43061787</v>
      </c>
      <c r="K113" s="188" t="s">
        <v>1191</v>
      </c>
      <c r="L113" s="178">
        <v>22849</v>
      </c>
      <c r="M113" s="196">
        <f ca="1">DATEDIF(L113,TODAY(),"Y")</f>
        <v>63</v>
      </c>
      <c r="N113" s="196" t="s">
        <v>114</v>
      </c>
      <c r="O113" s="210">
        <v>3128265387</v>
      </c>
      <c r="P113" s="207" t="s">
        <v>600</v>
      </c>
      <c r="Q113" s="196" t="s">
        <v>1624</v>
      </c>
      <c r="R113" s="196" t="s">
        <v>876</v>
      </c>
      <c r="S113" s="196" t="s">
        <v>461</v>
      </c>
      <c r="T113" s="210">
        <v>2024</v>
      </c>
      <c r="U113" s="222" t="s">
        <v>160</v>
      </c>
      <c r="V113" s="154" t="s">
        <v>210</v>
      </c>
    </row>
    <row r="114" spans="1:22" hidden="1">
      <c r="A114" s="198"/>
      <c r="B114" s="198"/>
      <c r="C114" s="198"/>
      <c r="D114" s="218"/>
      <c r="E114" s="196">
        <v>4</v>
      </c>
      <c r="F114" s="196" t="s">
        <v>1563</v>
      </c>
      <c r="G114" s="196" t="s">
        <v>151</v>
      </c>
      <c r="H114" s="210" t="s">
        <v>598</v>
      </c>
      <c r="I114" s="210" t="s">
        <v>601</v>
      </c>
      <c r="J114" s="215">
        <v>43026413</v>
      </c>
      <c r="K114" s="188" t="s">
        <v>1191</v>
      </c>
      <c r="L114" s="178">
        <v>22504</v>
      </c>
      <c r="M114" s="196">
        <f ca="1">DATEDIF(L114,TODAY(),"Y")</f>
        <v>64</v>
      </c>
      <c r="N114" s="196" t="s">
        <v>56</v>
      </c>
      <c r="O114" s="210">
        <v>3053333593</v>
      </c>
      <c r="P114" s="207" t="s">
        <v>602</v>
      </c>
      <c r="Q114" s="196" t="s">
        <v>1624</v>
      </c>
      <c r="R114" s="196" t="s">
        <v>891</v>
      </c>
      <c r="S114" s="196" t="s">
        <v>663</v>
      </c>
      <c r="T114" s="210">
        <v>2024</v>
      </c>
      <c r="U114" s="222" t="s">
        <v>160</v>
      </c>
      <c r="V114" s="154" t="s">
        <v>210</v>
      </c>
    </row>
    <row r="115" spans="1:22" hidden="1">
      <c r="A115" s="198"/>
      <c r="B115" s="198"/>
      <c r="C115" s="198"/>
      <c r="D115" s="218"/>
      <c r="E115" s="196">
        <v>4</v>
      </c>
      <c r="F115" s="196" t="s">
        <v>1563</v>
      </c>
      <c r="G115" s="196" t="s">
        <v>151</v>
      </c>
      <c r="H115" s="210" t="s">
        <v>598</v>
      </c>
      <c r="I115" s="210" t="s">
        <v>603</v>
      </c>
      <c r="J115" s="210">
        <v>23520758</v>
      </c>
      <c r="K115" s="188" t="s">
        <v>1191</v>
      </c>
      <c r="L115" s="178">
        <v>24552</v>
      </c>
      <c r="M115" s="196">
        <f ca="1">DATEDIF(L115,TODAY(),"Y")</f>
        <v>59</v>
      </c>
      <c r="N115" s="196" t="s">
        <v>73</v>
      </c>
      <c r="O115" s="210">
        <v>3217779205</v>
      </c>
      <c r="P115" s="210" t="s">
        <v>604</v>
      </c>
      <c r="Q115" s="196" t="s">
        <v>1624</v>
      </c>
      <c r="R115" s="196" t="s">
        <v>876</v>
      </c>
      <c r="S115" s="196" t="s">
        <v>663</v>
      </c>
      <c r="T115" s="210">
        <v>2024</v>
      </c>
      <c r="U115" s="222" t="s">
        <v>160</v>
      </c>
      <c r="V115" s="154" t="s">
        <v>210</v>
      </c>
    </row>
    <row r="116" spans="1:22" hidden="1">
      <c r="A116" s="198"/>
      <c r="B116" s="198"/>
      <c r="C116" s="198"/>
      <c r="D116" s="218"/>
      <c r="E116" s="196">
        <v>4</v>
      </c>
      <c r="F116" s="196" t="s">
        <v>1563</v>
      </c>
      <c r="G116" s="196" t="s">
        <v>151</v>
      </c>
      <c r="H116" s="210" t="s">
        <v>598</v>
      </c>
      <c r="I116" s="215" t="s">
        <v>607</v>
      </c>
      <c r="J116" s="210">
        <v>21611181</v>
      </c>
      <c r="K116" s="188" t="s">
        <v>1191</v>
      </c>
      <c r="L116" s="178">
        <v>24826</v>
      </c>
      <c r="M116" s="196">
        <f ca="1">DATEDIF(L116,TODAY(),"Y")</f>
        <v>58</v>
      </c>
      <c r="N116" s="196" t="s">
        <v>56</v>
      </c>
      <c r="O116" s="215">
        <v>3206419015</v>
      </c>
      <c r="P116" s="210" t="s">
        <v>608</v>
      </c>
      <c r="Q116" s="196" t="s">
        <v>1624</v>
      </c>
      <c r="R116" s="196" t="s">
        <v>891</v>
      </c>
      <c r="S116" s="196" t="s">
        <v>663</v>
      </c>
      <c r="T116" s="210">
        <v>2025</v>
      </c>
      <c r="U116" s="222" t="s">
        <v>160</v>
      </c>
      <c r="V116" s="154" t="s">
        <v>210</v>
      </c>
    </row>
    <row r="117" spans="1:22" hidden="1">
      <c r="A117" s="198"/>
      <c r="B117" s="198"/>
      <c r="C117" s="198"/>
      <c r="D117" s="218"/>
      <c r="E117" s="196">
        <v>4</v>
      </c>
      <c r="F117" s="196" t="s">
        <v>1563</v>
      </c>
      <c r="G117" s="196" t="s">
        <v>151</v>
      </c>
      <c r="H117" s="214" t="s">
        <v>598</v>
      </c>
      <c r="I117" s="214"/>
      <c r="J117" s="214"/>
      <c r="K117" s="188"/>
      <c r="L117" s="178"/>
      <c r="M117" s="196"/>
      <c r="N117" s="196" t="s">
        <v>1588</v>
      </c>
      <c r="O117" s="214"/>
      <c r="P117" s="214"/>
      <c r="Q117" s="196" t="s">
        <v>1624</v>
      </c>
      <c r="R117" s="196"/>
      <c r="S117" s="196"/>
      <c r="T117" s="214"/>
      <c r="U117" s="222" t="s">
        <v>160</v>
      </c>
      <c r="V117" s="154" t="s">
        <v>210</v>
      </c>
    </row>
    <row r="118" spans="1:22" hidden="1">
      <c r="A118" s="198"/>
      <c r="B118" s="198"/>
      <c r="C118" s="198"/>
      <c r="D118" s="218"/>
      <c r="E118" s="196">
        <v>4</v>
      </c>
      <c r="F118" s="196" t="s">
        <v>1563</v>
      </c>
      <c r="G118" s="196" t="s">
        <v>151</v>
      </c>
      <c r="H118" s="214" t="s">
        <v>598</v>
      </c>
      <c r="I118" s="214"/>
      <c r="J118" s="214"/>
      <c r="K118" s="188"/>
      <c r="L118" s="178"/>
      <c r="M118" s="196"/>
      <c r="N118" s="196" t="s">
        <v>1588</v>
      </c>
      <c r="O118" s="214"/>
      <c r="P118" s="214"/>
      <c r="Q118" s="196" t="s">
        <v>1624</v>
      </c>
      <c r="R118" s="196"/>
      <c r="S118" s="196"/>
      <c r="T118" s="214"/>
      <c r="U118" s="222" t="s">
        <v>160</v>
      </c>
      <c r="V118" s="154" t="s">
        <v>210</v>
      </c>
    </row>
    <row r="119" spans="1:22" hidden="1">
      <c r="D119" s="218"/>
      <c r="E119" s="196">
        <v>4</v>
      </c>
      <c r="F119" s="196" t="s">
        <v>1563</v>
      </c>
      <c r="G119" s="196" t="s">
        <v>151</v>
      </c>
      <c r="H119" s="214" t="s">
        <v>598</v>
      </c>
      <c r="I119" s="214"/>
      <c r="J119" s="214"/>
      <c r="K119" s="188"/>
      <c r="L119" s="178"/>
      <c r="M119" s="196"/>
      <c r="N119" s="196" t="s">
        <v>1588</v>
      </c>
      <c r="O119" s="214"/>
      <c r="P119" s="214"/>
      <c r="Q119" s="196" t="s">
        <v>1624</v>
      </c>
      <c r="R119" s="196"/>
      <c r="S119" s="196"/>
      <c r="T119" s="214"/>
      <c r="U119" s="222" t="s">
        <v>160</v>
      </c>
      <c r="V119" s="154" t="s">
        <v>210</v>
      </c>
    </row>
    <row r="120" spans="1:22" hidden="1">
      <c r="D120" s="218"/>
      <c r="E120" s="196">
        <v>4</v>
      </c>
      <c r="F120" s="196" t="s">
        <v>1563</v>
      </c>
      <c r="G120" s="196" t="s">
        <v>151</v>
      </c>
      <c r="H120" s="214" t="s">
        <v>598</v>
      </c>
      <c r="I120" s="214"/>
      <c r="J120" s="214"/>
      <c r="K120" s="188"/>
      <c r="L120" s="178"/>
      <c r="M120" s="196"/>
      <c r="N120" s="196" t="s">
        <v>1588</v>
      </c>
      <c r="O120" s="214"/>
      <c r="P120" s="214"/>
      <c r="Q120" s="196" t="s">
        <v>1624</v>
      </c>
      <c r="R120" s="196"/>
      <c r="S120" s="196"/>
      <c r="T120" s="214"/>
      <c r="U120" s="222" t="s">
        <v>160</v>
      </c>
      <c r="V120" s="154" t="s">
        <v>210</v>
      </c>
    </row>
    <row r="121" spans="1:22" hidden="1">
      <c r="A121" s="198"/>
      <c r="B121" s="198"/>
      <c r="C121" s="198"/>
      <c r="D121" s="218"/>
      <c r="E121" s="196">
        <v>4</v>
      </c>
      <c r="F121" s="196" t="s">
        <v>1563</v>
      </c>
      <c r="G121" s="196" t="s">
        <v>151</v>
      </c>
      <c r="H121" s="214" t="s">
        <v>598</v>
      </c>
      <c r="I121" s="214" t="s">
        <v>609</v>
      </c>
      <c r="J121" s="214"/>
      <c r="K121" s="188" t="s">
        <v>1191</v>
      </c>
      <c r="L121" s="178"/>
      <c r="M121" s="196"/>
      <c r="N121" s="196" t="s">
        <v>1588</v>
      </c>
      <c r="O121" s="214">
        <v>3218470829</v>
      </c>
      <c r="P121" s="214"/>
      <c r="Q121" s="196" t="s">
        <v>1624</v>
      </c>
      <c r="R121" s="196"/>
      <c r="S121" s="196"/>
      <c r="T121" s="214">
        <v>2024</v>
      </c>
      <c r="U121" s="222" t="s">
        <v>160</v>
      </c>
      <c r="V121" s="154" t="s">
        <v>210</v>
      </c>
    </row>
    <row r="122" spans="1:22">
      <c r="A122" s="198"/>
      <c r="B122" s="198"/>
      <c r="C122" s="198"/>
      <c r="D122" s="818" t="s">
        <v>2290</v>
      </c>
      <c r="E122" s="755">
        <v>4</v>
      </c>
      <c r="F122" s="755" t="s">
        <v>1563</v>
      </c>
      <c r="G122" s="755" t="s">
        <v>151</v>
      </c>
      <c r="H122" s="809" t="s">
        <v>610</v>
      </c>
      <c r="I122" s="809" t="s">
        <v>611</v>
      </c>
      <c r="J122" s="755"/>
      <c r="K122" s="754" t="s">
        <v>1191</v>
      </c>
      <c r="L122" s="765"/>
      <c r="M122" s="755"/>
      <c r="N122" s="755" t="s">
        <v>1588</v>
      </c>
      <c r="O122" s="809">
        <v>3043728329</v>
      </c>
      <c r="P122" s="809" t="s">
        <v>612</v>
      </c>
      <c r="Q122" s="755" t="s">
        <v>1626</v>
      </c>
      <c r="R122" s="755"/>
      <c r="S122" s="755"/>
      <c r="T122" s="809">
        <v>2024</v>
      </c>
      <c r="U122" s="760" t="s">
        <v>166</v>
      </c>
      <c r="V122" s="754" t="s">
        <v>210</v>
      </c>
    </row>
    <row r="123" spans="1:22" hidden="1">
      <c r="A123" s="198"/>
      <c r="B123" s="198"/>
      <c r="C123" s="198"/>
      <c r="D123" s="219"/>
      <c r="E123" s="137">
        <v>4</v>
      </c>
      <c r="F123" s="137" t="s">
        <v>1563</v>
      </c>
      <c r="G123" s="137" t="s">
        <v>151</v>
      </c>
      <c r="H123" s="189" t="s">
        <v>610</v>
      </c>
      <c r="I123" s="189" t="s">
        <v>613</v>
      </c>
      <c r="J123" s="137"/>
      <c r="K123" s="202" t="s">
        <v>1191</v>
      </c>
      <c r="L123" s="179"/>
      <c r="M123" s="137"/>
      <c r="N123" s="137" t="s">
        <v>1588</v>
      </c>
      <c r="O123" s="189">
        <v>3043728329</v>
      </c>
      <c r="P123" s="189"/>
      <c r="Q123" s="137" t="s">
        <v>1626</v>
      </c>
      <c r="R123" s="137"/>
      <c r="S123" s="137"/>
      <c r="T123" s="189">
        <v>2024</v>
      </c>
      <c r="U123" s="223" t="s">
        <v>160</v>
      </c>
      <c r="V123" s="154" t="s">
        <v>210</v>
      </c>
    </row>
    <row r="124" spans="1:22" hidden="1">
      <c r="A124" s="198"/>
      <c r="B124" s="198"/>
      <c r="C124" s="198"/>
      <c r="D124" s="219"/>
      <c r="E124" s="137">
        <v>4</v>
      </c>
      <c r="F124" s="137" t="s">
        <v>1563</v>
      </c>
      <c r="G124" s="137" t="s">
        <v>151</v>
      </c>
      <c r="H124" s="189" t="s">
        <v>610</v>
      </c>
      <c r="I124" s="189" t="s">
        <v>614</v>
      </c>
      <c r="J124" s="137"/>
      <c r="K124" s="202" t="s">
        <v>1187</v>
      </c>
      <c r="L124" s="179"/>
      <c r="M124" s="137"/>
      <c r="N124" s="137" t="s">
        <v>1588</v>
      </c>
      <c r="O124" s="189">
        <v>3217089272</v>
      </c>
      <c r="P124" s="189"/>
      <c r="Q124" s="137" t="s">
        <v>1626</v>
      </c>
      <c r="R124" s="137"/>
      <c r="S124" s="137"/>
      <c r="T124" s="189">
        <v>2024</v>
      </c>
      <c r="U124" s="223" t="s">
        <v>160</v>
      </c>
      <c r="V124" s="154" t="s">
        <v>210</v>
      </c>
    </row>
    <row r="125" spans="1:22" hidden="1">
      <c r="A125" s="198"/>
      <c r="B125" s="198"/>
      <c r="C125" s="198"/>
      <c r="D125" s="219"/>
      <c r="E125" s="137">
        <v>4</v>
      </c>
      <c r="F125" s="137" t="s">
        <v>1563</v>
      </c>
      <c r="G125" s="137" t="s">
        <v>151</v>
      </c>
      <c r="H125" s="189" t="s">
        <v>610</v>
      </c>
      <c r="I125" s="189" t="s">
        <v>615</v>
      </c>
      <c r="J125" s="137"/>
      <c r="K125" s="202" t="s">
        <v>1187</v>
      </c>
      <c r="L125" s="179"/>
      <c r="M125" s="137"/>
      <c r="N125" s="137" t="s">
        <v>1588</v>
      </c>
      <c r="O125" s="189">
        <v>3145762240</v>
      </c>
      <c r="P125" s="189"/>
      <c r="Q125" s="137" t="s">
        <v>1626</v>
      </c>
      <c r="R125" s="137"/>
      <c r="S125" s="137"/>
      <c r="T125" s="189">
        <v>2024</v>
      </c>
      <c r="U125" s="223" t="s">
        <v>160</v>
      </c>
      <c r="V125" s="154" t="s">
        <v>210</v>
      </c>
    </row>
    <row r="126" spans="1:22" hidden="1">
      <c r="A126" s="198"/>
      <c r="B126" s="198"/>
      <c r="C126" s="198"/>
      <c r="D126" s="219"/>
      <c r="E126" s="137">
        <v>4</v>
      </c>
      <c r="F126" s="137" t="s">
        <v>1563</v>
      </c>
      <c r="G126" s="137" t="s">
        <v>151</v>
      </c>
      <c r="H126" s="189" t="s">
        <v>610</v>
      </c>
      <c r="I126" s="189" t="s">
        <v>616</v>
      </c>
      <c r="J126" s="137"/>
      <c r="K126" s="202" t="s">
        <v>1187</v>
      </c>
      <c r="L126" s="179"/>
      <c r="M126" s="137"/>
      <c r="N126" s="137" t="s">
        <v>1588</v>
      </c>
      <c r="O126" s="189">
        <v>3227181924</v>
      </c>
      <c r="P126" s="189"/>
      <c r="Q126" s="137" t="s">
        <v>1626</v>
      </c>
      <c r="R126" s="137"/>
      <c r="S126" s="137"/>
      <c r="T126" s="189">
        <v>2024</v>
      </c>
      <c r="U126" s="223" t="s">
        <v>160</v>
      </c>
      <c r="V126" s="154" t="s">
        <v>210</v>
      </c>
    </row>
    <row r="127" spans="1:22" hidden="1">
      <c r="A127" s="198"/>
      <c r="B127" s="198"/>
      <c r="C127" s="198"/>
      <c r="D127" s="219"/>
      <c r="E127" s="137">
        <v>4</v>
      </c>
      <c r="F127" s="137" t="s">
        <v>1563</v>
      </c>
      <c r="G127" s="137" t="s">
        <v>151</v>
      </c>
      <c r="H127" s="189" t="s">
        <v>610</v>
      </c>
      <c r="I127" s="189" t="s">
        <v>617</v>
      </c>
      <c r="J127" s="137"/>
      <c r="K127" s="202" t="s">
        <v>1191</v>
      </c>
      <c r="L127" s="179"/>
      <c r="M127" s="137"/>
      <c r="N127" s="137" t="s">
        <v>1588</v>
      </c>
      <c r="O127" s="189">
        <v>3234391300</v>
      </c>
      <c r="P127" s="189"/>
      <c r="Q127" s="137" t="s">
        <v>1626</v>
      </c>
      <c r="R127" s="137"/>
      <c r="S127" s="137"/>
      <c r="T127" s="189">
        <v>2024</v>
      </c>
      <c r="U127" s="223" t="s">
        <v>160</v>
      </c>
      <c r="V127" s="154" t="s">
        <v>210</v>
      </c>
    </row>
  </sheetData>
  <phoneticPr fontId="43" type="noConversion"/>
  <dataValidations count="7">
    <dataValidation type="list" allowBlank="1" showInputMessage="1" showErrorMessage="1" sqref="G3:G108 G109:G127" xr:uid="{40559C22-C2D8-4947-B97F-EBE46320E096}">
      <formula1>$A$1:$A$3</formula1>
    </dataValidation>
    <dataValidation type="list" allowBlank="1" showInputMessage="1" showErrorMessage="1" sqref="K3:K108 K109:K127" xr:uid="{2B58E1E4-FAD1-40A4-A0D7-D843ECC8CBC8}">
      <formula1>$A$4:$A$7</formula1>
    </dataValidation>
    <dataValidation type="list" allowBlank="1" showInputMessage="1" showErrorMessage="1" sqref="N3:N108 N109:N127" xr:uid="{E18B2427-7239-4035-9F89-3E7BCE39FB94}">
      <formula1>$A$8:$A$17</formula1>
    </dataValidation>
    <dataValidation type="list" allowBlank="1" showInputMessage="1" showErrorMessage="1" sqref="U3:U108 U109:U127" xr:uid="{580358DD-69BF-43FA-BE95-CF54D9BD8DF2}">
      <formula1>$A$18:$A$20</formula1>
    </dataValidation>
    <dataValidation type="list" allowBlank="1" showInputMessage="1" showErrorMessage="1" sqref="Q3:Q108 Q109:Q127" xr:uid="{693D8870-D033-485F-9FDB-78DDB3670EE2}">
      <formula1>$A$21:$A$38</formula1>
    </dataValidation>
    <dataValidation type="list" allowBlank="1" showInputMessage="1" showErrorMessage="1" sqref="R3:R108 R109:R127" xr:uid="{5AA47637-4100-4B70-87E5-1E36E03DC0A9}">
      <formula1>$B$5:$B$11</formula1>
    </dataValidation>
    <dataValidation type="list" allowBlank="1" showInputMessage="1" showErrorMessage="1" sqref="S3:S108 S109:S127" xr:uid="{25B5A35F-2550-4138-9801-2F547B6583A2}">
      <formula1>$B$13:$B$39</formula1>
    </dataValidation>
  </dataValidations>
  <hyperlinks>
    <hyperlink ref="P34" r:id="rId1" xr:uid="{00000000-0004-0000-0400-000005000000}"/>
    <hyperlink ref="P43" r:id="rId2" xr:uid="{00000000-0004-0000-0400-000006000000}"/>
    <hyperlink ref="P68" r:id="rId3" xr:uid="{00000000-0004-0000-0400-00000D000000}"/>
    <hyperlink ref="P69" r:id="rId4" xr:uid="{00000000-0004-0000-0400-00000E000000}"/>
    <hyperlink ref="P6" r:id="rId5" xr:uid="{E2819F26-8047-4C59-B62A-D99B2BED1AA2}"/>
    <hyperlink ref="P16" r:id="rId6" xr:uid="{9E77F8EA-4D11-4CDF-893E-A31D3EF892D8}"/>
    <hyperlink ref="P22" r:id="rId7" xr:uid="{57748619-3B85-4812-A31A-5EF362C3E708}"/>
    <hyperlink ref="P23" r:id="rId8" xr:uid="{C8572F13-4BC2-4E91-95BC-FA8F6D007E9A}"/>
    <hyperlink ref="P26" r:id="rId9" xr:uid="{BD8CFC61-FDA9-4B9E-9747-9AF7542A2B59}"/>
    <hyperlink ref="P48" r:id="rId10" xr:uid="{FEC40C80-9629-425C-BBF9-56277EA76ED7}"/>
    <hyperlink ref="P44" r:id="rId11" xr:uid="{3429CDA1-C127-4731-90A8-E97A25C45B6C}"/>
    <hyperlink ref="P54" r:id="rId12" xr:uid="{91E99C12-B707-4811-82D5-224A1D0D2717}"/>
    <hyperlink ref="P60" r:id="rId13" xr:uid="{9A712BE7-1ADA-4C3D-A6FE-824B760E298E}"/>
    <hyperlink ref="P61" r:id="rId14" xr:uid="{80971810-32E2-4A55-928C-F3B6BED52D62}"/>
    <hyperlink ref="P64" r:id="rId15" xr:uid="{8EDDA039-55E1-495E-8D61-F3F59119657F}"/>
    <hyperlink ref="P83" r:id="rId16" xr:uid="{776B5DDC-436D-4554-8E54-A87E9B6AF911}"/>
    <hyperlink ref="P85" r:id="rId17" xr:uid="{B4D42BC6-B29E-4BB1-8BFE-098C834144C6}"/>
  </hyperlinks>
  <pageMargins left="0.7" right="0.7" top="0.75" bottom="0.75" header="0.3" footer="0.3"/>
  <tableParts count="1">
    <tablePart r:id="rId1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B378-00C7-425F-AD60-04A13CAE7117}">
  <dimension ref="A2:AA39"/>
  <sheetViews>
    <sheetView topLeftCell="C1" zoomScale="111" workbookViewId="0">
      <selection activeCell="V3" sqref="E3:V3"/>
    </sheetView>
  </sheetViews>
  <sheetFormatPr baseColWidth="10" defaultColWidth="11.5546875" defaultRowHeight="14.4"/>
  <cols>
    <col min="1" max="1" width="22.6640625" style="144" bestFit="1" customWidth="1"/>
    <col min="2" max="2" width="22.6640625" style="144" customWidth="1"/>
    <col min="3" max="3" width="12.109375" style="144" customWidth="1"/>
    <col min="4" max="4" width="11.6640625" style="144" bestFit="1" customWidth="1"/>
    <col min="5" max="5" width="11.6640625" style="144" customWidth="1"/>
    <col min="6" max="6" width="21.6640625" style="144" bestFit="1" customWidth="1"/>
    <col min="7" max="7" width="21.6640625" style="144" customWidth="1"/>
    <col min="8" max="8" width="19.5546875" style="144" customWidth="1"/>
    <col min="9" max="9" width="24.33203125" style="144" customWidth="1"/>
    <col min="10" max="10" width="12.33203125" style="144" bestFit="1" customWidth="1"/>
    <col min="11" max="11" width="11.5546875" style="144"/>
    <col min="12" max="12" width="24.33203125" style="144" customWidth="1"/>
    <col min="13" max="13" width="11.6640625" style="144" bestFit="1" customWidth="1"/>
    <col min="14" max="14" width="18.44140625" style="144" customWidth="1"/>
    <col min="15" max="15" width="12.33203125" style="144" bestFit="1" customWidth="1"/>
    <col min="16" max="16" width="22.33203125" style="144" customWidth="1"/>
    <col min="17" max="17" width="11.5546875" style="144"/>
    <col min="18" max="18" width="13.6640625" style="144" customWidth="1"/>
    <col min="19" max="19" width="11.5546875" style="144"/>
    <col min="20" max="20" width="31.5546875" style="144" customWidth="1"/>
    <col min="21" max="21" width="30.33203125" style="144" customWidth="1"/>
    <col min="22" max="22" width="11.6640625" style="144" bestFit="1" customWidth="1"/>
    <col min="23" max="16384" width="11.5546875" style="144"/>
  </cols>
  <sheetData>
    <row r="2" spans="1:24">
      <c r="A2" s="144" t="s">
        <v>151</v>
      </c>
      <c r="D2" s="153" t="s">
        <v>417</v>
      </c>
      <c r="E2" s="153" t="s">
        <v>2288</v>
      </c>
      <c r="F2" s="153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4">
      <c r="A3" s="144" t="s">
        <v>129</v>
      </c>
      <c r="D3" s="752" t="s">
        <v>2289</v>
      </c>
      <c r="E3" s="753">
        <v>5</v>
      </c>
      <c r="F3" s="753" t="s">
        <v>1564</v>
      </c>
      <c r="G3" s="755" t="s">
        <v>129</v>
      </c>
      <c r="H3" s="809" t="s">
        <v>618</v>
      </c>
      <c r="I3" s="809" t="s">
        <v>619</v>
      </c>
      <c r="J3" s="820">
        <v>43524210</v>
      </c>
      <c r="K3" s="755" t="s">
        <v>1191</v>
      </c>
      <c r="L3" s="765">
        <v>23588</v>
      </c>
      <c r="M3" s="757">
        <f t="shared" ref="M3:M9" ca="1" si="0">DATEDIF(L3,TODAY(),"Y")</f>
        <v>61</v>
      </c>
      <c r="N3" s="755" t="s">
        <v>1588</v>
      </c>
      <c r="O3" s="809">
        <v>3148770934</v>
      </c>
      <c r="P3" s="809" t="s">
        <v>620</v>
      </c>
      <c r="Q3" s="755" t="s">
        <v>1634</v>
      </c>
      <c r="R3" s="821" t="s">
        <v>164</v>
      </c>
      <c r="S3" s="822" t="s">
        <v>663</v>
      </c>
      <c r="T3" s="809">
        <v>2009</v>
      </c>
      <c r="U3" s="760" t="s">
        <v>166</v>
      </c>
      <c r="V3" s="761" t="s">
        <v>210</v>
      </c>
    </row>
    <row r="4" spans="1:24">
      <c r="D4" s="150"/>
      <c r="E4" s="150">
        <v>5</v>
      </c>
      <c r="F4" s="150" t="s">
        <v>1564</v>
      </c>
      <c r="G4" s="138" t="s">
        <v>129</v>
      </c>
      <c r="H4" s="232" t="s">
        <v>618</v>
      </c>
      <c r="I4" s="232" t="s">
        <v>621</v>
      </c>
      <c r="J4" s="232">
        <v>43436171</v>
      </c>
      <c r="K4" s="138" t="s">
        <v>1191</v>
      </c>
      <c r="L4" s="147">
        <v>24130</v>
      </c>
      <c r="M4" s="158">
        <f t="shared" ca="1" si="0"/>
        <v>60</v>
      </c>
      <c r="N4" s="138" t="s">
        <v>1588</v>
      </c>
      <c r="O4" s="232">
        <v>3154784354</v>
      </c>
      <c r="P4" s="232" t="s">
        <v>622</v>
      </c>
      <c r="Q4" s="138" t="s">
        <v>1634</v>
      </c>
      <c r="R4" s="172" t="s">
        <v>876</v>
      </c>
      <c r="S4" s="174" t="s">
        <v>461</v>
      </c>
      <c r="T4" s="232">
        <v>2010</v>
      </c>
      <c r="U4" s="151" t="s">
        <v>160</v>
      </c>
      <c r="V4" s="144" t="s">
        <v>210</v>
      </c>
    </row>
    <row r="5" spans="1:24">
      <c r="A5" s="144" t="s">
        <v>1191</v>
      </c>
      <c r="B5" s="144" t="s">
        <v>333</v>
      </c>
      <c r="D5" s="150"/>
      <c r="E5" s="150">
        <v>5</v>
      </c>
      <c r="F5" s="150" t="s">
        <v>1564</v>
      </c>
      <c r="G5" s="138" t="s">
        <v>129</v>
      </c>
      <c r="H5" s="232" t="s">
        <v>618</v>
      </c>
      <c r="I5" s="232" t="s">
        <v>623</v>
      </c>
      <c r="J5" s="232">
        <v>1035851115</v>
      </c>
      <c r="K5" s="138" t="s">
        <v>1187</v>
      </c>
      <c r="L5" s="147">
        <v>31754</v>
      </c>
      <c r="M5" s="158">
        <f t="shared" ca="1" si="0"/>
        <v>39</v>
      </c>
      <c r="N5" s="138" t="s">
        <v>1588</v>
      </c>
      <c r="O5" s="232">
        <v>3107337783</v>
      </c>
      <c r="P5" s="232" t="s">
        <v>624</v>
      </c>
      <c r="Q5" s="138" t="s">
        <v>1634</v>
      </c>
      <c r="R5" s="172" t="s">
        <v>1585</v>
      </c>
      <c r="S5" s="174" t="s">
        <v>663</v>
      </c>
      <c r="T5" s="232">
        <v>2017</v>
      </c>
      <c r="U5" s="151" t="s">
        <v>160</v>
      </c>
      <c r="V5" s="144" t="s">
        <v>210</v>
      </c>
    </row>
    <row r="6" spans="1:24">
      <c r="A6" s="144" t="s">
        <v>1187</v>
      </c>
      <c r="B6" s="144" t="s">
        <v>164</v>
      </c>
      <c r="D6" s="150"/>
      <c r="E6" s="150">
        <v>5</v>
      </c>
      <c r="F6" s="150" t="s">
        <v>1564</v>
      </c>
      <c r="G6" s="138" t="s">
        <v>129</v>
      </c>
      <c r="H6" s="232" t="s">
        <v>618</v>
      </c>
      <c r="I6" s="232" t="s">
        <v>625</v>
      </c>
      <c r="J6" s="232">
        <v>43588861</v>
      </c>
      <c r="K6" s="138" t="s">
        <v>1191</v>
      </c>
      <c r="L6" s="147">
        <v>26539</v>
      </c>
      <c r="M6" s="158">
        <f t="shared" ca="1" si="0"/>
        <v>53</v>
      </c>
      <c r="N6" s="138" t="s">
        <v>1588</v>
      </c>
      <c r="O6" s="232">
        <v>3128371598</v>
      </c>
      <c r="P6" s="232" t="s">
        <v>626</v>
      </c>
      <c r="Q6" s="138" t="s">
        <v>1634</v>
      </c>
      <c r="R6" s="172" t="s">
        <v>333</v>
      </c>
      <c r="S6" s="174" t="s">
        <v>663</v>
      </c>
      <c r="T6" s="232">
        <v>2013</v>
      </c>
      <c r="U6" s="151" t="s">
        <v>160</v>
      </c>
      <c r="V6" s="144" t="s">
        <v>210</v>
      </c>
    </row>
    <row r="7" spans="1:24">
      <c r="A7" s="144" t="s">
        <v>1585</v>
      </c>
      <c r="B7" s="144" t="s">
        <v>321</v>
      </c>
      <c r="D7" s="150"/>
      <c r="E7" s="150">
        <v>5</v>
      </c>
      <c r="F7" s="150" t="s">
        <v>1564</v>
      </c>
      <c r="G7" s="138" t="s">
        <v>129</v>
      </c>
      <c r="H7" s="232" t="s">
        <v>618</v>
      </c>
      <c r="I7" s="232" t="s">
        <v>627</v>
      </c>
      <c r="J7" s="232">
        <v>43920105</v>
      </c>
      <c r="K7" s="138" t="s">
        <v>1191</v>
      </c>
      <c r="L7" s="147">
        <v>30822</v>
      </c>
      <c r="M7" s="158">
        <f t="shared" ca="1" si="0"/>
        <v>41</v>
      </c>
      <c r="N7" s="138" t="s">
        <v>1588</v>
      </c>
      <c r="O7" s="232">
        <v>3024382602</v>
      </c>
      <c r="P7" s="232" t="s">
        <v>628</v>
      </c>
      <c r="Q7" s="138" t="s">
        <v>1634</v>
      </c>
      <c r="R7" s="172" t="s">
        <v>164</v>
      </c>
      <c r="S7" s="174" t="s">
        <v>663</v>
      </c>
      <c r="T7" s="232">
        <v>2011</v>
      </c>
      <c r="U7" s="151" t="s">
        <v>160</v>
      </c>
      <c r="V7" s="144" t="s">
        <v>210</v>
      </c>
    </row>
    <row r="8" spans="1:24">
      <c r="B8" s="144" t="s">
        <v>192</v>
      </c>
      <c r="D8" s="150"/>
      <c r="E8" s="150">
        <v>5</v>
      </c>
      <c r="F8" s="150" t="s">
        <v>1564</v>
      </c>
      <c r="G8" s="138" t="s">
        <v>129</v>
      </c>
      <c r="H8" s="232" t="s">
        <v>618</v>
      </c>
      <c r="I8" s="232" t="s">
        <v>629</v>
      </c>
      <c r="J8" s="232">
        <v>43111900</v>
      </c>
      <c r="K8" s="138" t="s">
        <v>1191</v>
      </c>
      <c r="L8" s="147">
        <v>29094</v>
      </c>
      <c r="M8" s="158">
        <f t="shared" ca="1" si="0"/>
        <v>46</v>
      </c>
      <c r="N8" s="138" t="s">
        <v>1588</v>
      </c>
      <c r="O8" s="232">
        <v>3007743617</v>
      </c>
      <c r="P8" s="232" t="s">
        <v>630</v>
      </c>
      <c r="Q8" s="138" t="s">
        <v>1634</v>
      </c>
      <c r="R8" s="172" t="s">
        <v>164</v>
      </c>
      <c r="S8" s="174" t="s">
        <v>663</v>
      </c>
      <c r="T8" s="232">
        <v>2023</v>
      </c>
      <c r="U8" s="151" t="s">
        <v>160</v>
      </c>
      <c r="V8" s="144" t="s">
        <v>210</v>
      </c>
    </row>
    <row r="9" spans="1:24">
      <c r="A9" s="144" t="s">
        <v>56</v>
      </c>
      <c r="B9" s="144" t="s">
        <v>876</v>
      </c>
      <c r="D9" s="150"/>
      <c r="E9" s="150">
        <v>5</v>
      </c>
      <c r="F9" s="150" t="s">
        <v>1564</v>
      </c>
      <c r="G9" s="138" t="s">
        <v>129</v>
      </c>
      <c r="H9" s="232" t="s">
        <v>618</v>
      </c>
      <c r="I9" s="232" t="s">
        <v>631</v>
      </c>
      <c r="J9" s="232">
        <v>1021929640</v>
      </c>
      <c r="K9" s="138" t="s">
        <v>1191</v>
      </c>
      <c r="L9" s="147">
        <v>40499</v>
      </c>
      <c r="M9" s="158">
        <f t="shared" ca="1" si="0"/>
        <v>15</v>
      </c>
      <c r="N9" s="138" t="s">
        <v>1588</v>
      </c>
      <c r="O9" s="232">
        <v>3103567180</v>
      </c>
      <c r="P9" s="232" t="s">
        <v>632</v>
      </c>
      <c r="Q9" s="138" t="s">
        <v>1634</v>
      </c>
      <c r="R9" s="172" t="s">
        <v>192</v>
      </c>
      <c r="S9" s="174" t="s">
        <v>663</v>
      </c>
      <c r="T9" s="232">
        <v>2024</v>
      </c>
      <c r="U9" s="151" t="s">
        <v>160</v>
      </c>
      <c r="V9" s="144" t="s">
        <v>210</v>
      </c>
    </row>
    <row r="10" spans="1:24">
      <c r="A10" s="144" t="s">
        <v>212</v>
      </c>
      <c r="B10" s="144" t="s">
        <v>891</v>
      </c>
      <c r="D10" s="150"/>
      <c r="E10" s="150">
        <v>5</v>
      </c>
      <c r="F10" s="150" t="s">
        <v>1564</v>
      </c>
      <c r="G10" s="138" t="s">
        <v>129</v>
      </c>
      <c r="H10" s="232" t="s">
        <v>618</v>
      </c>
      <c r="I10" s="232" t="s">
        <v>633</v>
      </c>
      <c r="J10" s="232"/>
      <c r="K10" s="138" t="s">
        <v>1191</v>
      </c>
      <c r="L10" s="147"/>
      <c r="M10" s="158"/>
      <c r="N10" s="138" t="s">
        <v>1588</v>
      </c>
      <c r="O10" s="232"/>
      <c r="P10" s="232"/>
      <c r="Q10" s="138" t="s">
        <v>1634</v>
      </c>
      <c r="R10" s="172"/>
      <c r="S10" s="174"/>
      <c r="T10" s="232"/>
      <c r="U10" s="151" t="s">
        <v>160</v>
      </c>
      <c r="V10" s="144" t="s">
        <v>210</v>
      </c>
    </row>
    <row r="11" spans="1:24">
      <c r="A11" s="144" t="s">
        <v>73</v>
      </c>
      <c r="B11" s="144" t="s">
        <v>1585</v>
      </c>
      <c r="D11" s="431"/>
      <c r="E11" s="150">
        <v>5</v>
      </c>
      <c r="F11" s="150" t="s">
        <v>1564</v>
      </c>
      <c r="G11" s="138" t="s">
        <v>129</v>
      </c>
      <c r="H11" s="232" t="s">
        <v>634</v>
      </c>
      <c r="I11" s="232" t="s">
        <v>635</v>
      </c>
      <c r="J11" s="232">
        <v>52232012</v>
      </c>
      <c r="K11" s="138" t="s">
        <v>1191</v>
      </c>
      <c r="L11" s="147">
        <v>28178</v>
      </c>
      <c r="M11" s="158">
        <f ca="1">DATEDIF(L11,TODAY(),"Y")</f>
        <v>49</v>
      </c>
      <c r="N11" s="138" t="s">
        <v>1588</v>
      </c>
      <c r="O11" s="232">
        <v>3128400366</v>
      </c>
      <c r="P11" s="232" t="s">
        <v>636</v>
      </c>
      <c r="Q11" s="138" t="s">
        <v>1634</v>
      </c>
      <c r="R11" s="172" t="s">
        <v>1585</v>
      </c>
      <c r="S11" s="174" t="s">
        <v>663</v>
      </c>
      <c r="T11" s="232">
        <v>2024</v>
      </c>
      <c r="U11" s="151" t="s">
        <v>160</v>
      </c>
      <c r="V11" s="144" t="s">
        <v>210</v>
      </c>
    </row>
    <row r="12" spans="1:24">
      <c r="A12" s="144" t="s">
        <v>272</v>
      </c>
    </row>
    <row r="13" spans="1:24">
      <c r="A13" s="144" t="s">
        <v>114</v>
      </c>
      <c r="B13" s="211" t="s">
        <v>461</v>
      </c>
    </row>
    <row r="14" spans="1:24">
      <c r="A14" s="144" t="s">
        <v>1586</v>
      </c>
      <c r="B14" s="211" t="s">
        <v>663</v>
      </c>
    </row>
    <row r="15" spans="1:24">
      <c r="A15" s="144" t="s">
        <v>227</v>
      </c>
      <c r="B15" s="211" t="s">
        <v>170</v>
      </c>
    </row>
    <row r="16" spans="1:24">
      <c r="A16" s="144" t="s">
        <v>1587</v>
      </c>
      <c r="B16" s="211" t="s">
        <v>193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</row>
    <row r="17" spans="1:27">
      <c r="A17" s="144" t="s">
        <v>1588</v>
      </c>
      <c r="B17" s="211" t="s">
        <v>1881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</row>
    <row r="18" spans="1:27">
      <c r="B18" s="211" t="s">
        <v>1882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</row>
    <row r="19" spans="1:27">
      <c r="A19" s="144" t="s">
        <v>160</v>
      </c>
      <c r="B19" s="211" t="s">
        <v>405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</row>
    <row r="20" spans="1:27">
      <c r="A20" s="144" t="s">
        <v>166</v>
      </c>
      <c r="B20" s="211" t="s">
        <v>1883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</row>
    <row r="21" spans="1:27">
      <c r="B21" s="211" t="s">
        <v>230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230"/>
      <c r="Z21" s="173"/>
      <c r="AA21" s="173"/>
    </row>
    <row r="22" spans="1:27">
      <c r="A22" s="144" t="s">
        <v>1632</v>
      </c>
      <c r="B22" s="211" t="s">
        <v>1884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</row>
    <row r="23" spans="1:27">
      <c r="A23" s="144" t="s">
        <v>1633</v>
      </c>
      <c r="B23" s="211" t="s">
        <v>1885</v>
      </c>
      <c r="C23" s="23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</row>
    <row r="24" spans="1:27">
      <c r="A24" s="144" t="s">
        <v>1634</v>
      </c>
      <c r="B24" s="211" t="s">
        <v>1886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</row>
    <row r="25" spans="1:27">
      <c r="A25" s="144" t="s">
        <v>1635</v>
      </c>
      <c r="B25" s="211" t="s">
        <v>1887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</row>
    <row r="26" spans="1:27">
      <c r="A26" s="144" t="s">
        <v>1636</v>
      </c>
      <c r="B26" s="211" t="s">
        <v>1888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</row>
    <row r="27" spans="1:27">
      <c r="A27" s="144" t="s">
        <v>1637</v>
      </c>
      <c r="B27" s="211" t="s">
        <v>1889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</row>
    <row r="28" spans="1:27">
      <c r="A28" s="144" t="s">
        <v>1719</v>
      </c>
      <c r="B28" s="211" t="s">
        <v>1890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</row>
    <row r="29" spans="1:27">
      <c r="A29" s="144" t="s">
        <v>1638</v>
      </c>
      <c r="B29" s="211" t="s">
        <v>1891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</row>
    <row r="30" spans="1:27">
      <c r="A30" s="144" t="s">
        <v>1639</v>
      </c>
      <c r="B30" s="211" t="s">
        <v>1892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</row>
    <row r="31" spans="1:27">
      <c r="A31" s="144" t="s">
        <v>1640</v>
      </c>
      <c r="B31" s="211" t="s">
        <v>1893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</row>
    <row r="32" spans="1:27">
      <c r="A32" s="144" t="s">
        <v>1564</v>
      </c>
      <c r="B32" s="211" t="s">
        <v>1894</v>
      </c>
    </row>
    <row r="33" spans="1:3">
      <c r="A33" s="144" t="s">
        <v>1720</v>
      </c>
      <c r="B33" s="211" t="s">
        <v>1895</v>
      </c>
    </row>
    <row r="34" spans="1:3">
      <c r="A34" s="144" t="s">
        <v>1641</v>
      </c>
      <c r="B34" s="211" t="s">
        <v>1896</v>
      </c>
      <c r="C34" s="233"/>
    </row>
    <row r="35" spans="1:3">
      <c r="A35" s="144" t="s">
        <v>1642</v>
      </c>
      <c r="B35" s="144" t="s">
        <v>1899</v>
      </c>
    </row>
    <row r="36" spans="1:3">
      <c r="A36" s="144" t="s">
        <v>1721</v>
      </c>
      <c r="B36" s="144" t="s">
        <v>1900</v>
      </c>
    </row>
    <row r="37" spans="1:3">
      <c r="A37" s="144" t="s">
        <v>1722</v>
      </c>
      <c r="B37" s="144" t="s">
        <v>1898</v>
      </c>
    </row>
    <row r="38" spans="1:3">
      <c r="A38" s="144" t="s">
        <v>1643</v>
      </c>
      <c r="B38" s="144" t="s">
        <v>218</v>
      </c>
    </row>
    <row r="39" spans="1:3">
      <c r="A39" s="144" t="s">
        <v>1644</v>
      </c>
      <c r="B39" s="144" t="s">
        <v>1585</v>
      </c>
    </row>
  </sheetData>
  <dataValidations count="7">
    <dataValidation type="list" allowBlank="1" showInputMessage="1" showErrorMessage="1" sqref="G3:G15" xr:uid="{6EA7BA7A-23B7-4BD6-9FC6-29F1A3083AA5}">
      <formula1>$A$1:$A$3</formula1>
    </dataValidation>
    <dataValidation type="list" allowBlank="1" showInputMessage="1" showErrorMessage="1" sqref="K3:K11" xr:uid="{222EDFF3-60BE-4DA5-9568-8D41C0639A53}">
      <formula1>$A$4:$A$7</formula1>
    </dataValidation>
    <dataValidation type="list" allowBlank="1" showInputMessage="1" showErrorMessage="1" sqref="N3:N11" xr:uid="{E8E740F2-1404-4B44-A924-65FF5D719687}">
      <formula1>$A$8:$A$17</formula1>
    </dataValidation>
    <dataValidation type="list" allowBlank="1" showInputMessage="1" showErrorMessage="1" sqref="U3:U11" xr:uid="{8DF0EF41-22A6-4FB9-8409-E894E7762179}">
      <formula1>$A$18:$A$20</formula1>
    </dataValidation>
    <dataValidation type="list" allowBlank="1" showInputMessage="1" showErrorMessage="1" sqref="Q3:Q11" xr:uid="{C4F14FDF-68A0-4A19-84F5-A48CD58D9EF8}">
      <formula1>$A$21:$A$39</formula1>
    </dataValidation>
    <dataValidation type="list" allowBlank="1" showInputMessage="1" showErrorMessage="1" sqref="R3:R11" xr:uid="{A92CFF4A-1B68-43E2-A97F-061050509D5C}">
      <formula1>$B$5:$B$11</formula1>
    </dataValidation>
    <dataValidation type="list" allowBlank="1" showInputMessage="1" showErrorMessage="1" sqref="S3:S11" xr:uid="{CCA867DF-B637-4883-86E8-23474E79301B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ED16-EB6A-4350-9820-31544FFCFF76}">
  <dimension ref="A2:AA44"/>
  <sheetViews>
    <sheetView topLeftCell="J1" zoomScale="85" workbookViewId="0">
      <selection activeCell="E3" sqref="E3:V5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4" width="13" style="144" customWidth="1"/>
    <col min="5" max="5" width="11.5546875" style="144"/>
    <col min="6" max="6" width="20" style="144" customWidth="1"/>
    <col min="7" max="7" width="21.6640625" style="144" customWidth="1"/>
    <col min="8" max="8" width="22.109375" style="144" bestFit="1" customWidth="1"/>
    <col min="9" max="9" width="24.33203125" style="144" customWidth="1"/>
    <col min="10" max="10" width="13.33203125" style="144" bestFit="1" customWidth="1"/>
    <col min="11" max="11" width="11.5546875" style="144"/>
    <col min="12" max="12" width="23.6640625" style="144" customWidth="1"/>
    <col min="13" max="13" width="11.6640625" style="144" bestFit="1" customWidth="1"/>
    <col min="14" max="14" width="18.33203125" style="144" customWidth="1"/>
    <col min="15" max="15" width="13.33203125" style="144" bestFit="1" customWidth="1"/>
    <col min="16" max="16" width="21.88671875" style="144" customWidth="1"/>
    <col min="17" max="17" width="11.5546875" style="144"/>
    <col min="18" max="18" width="13.6640625" style="144" bestFit="1" customWidth="1"/>
    <col min="19" max="19" width="11.5546875" style="144"/>
    <col min="20" max="20" width="30" style="144" customWidth="1"/>
    <col min="21" max="21" width="29.6640625" style="144" customWidth="1"/>
    <col min="22" max="16384" width="11.5546875" style="144"/>
  </cols>
  <sheetData>
    <row r="2" spans="1:23">
      <c r="A2" s="144" t="s">
        <v>151</v>
      </c>
      <c r="D2" s="153" t="s">
        <v>417</v>
      </c>
      <c r="E2" s="153" t="s">
        <v>2288</v>
      </c>
      <c r="F2" s="138" t="s">
        <v>1854</v>
      </c>
      <c r="G2" s="138" t="s">
        <v>1584</v>
      </c>
      <c r="H2" s="138" t="s">
        <v>418</v>
      </c>
      <c r="I2" s="138" t="s">
        <v>1410</v>
      </c>
      <c r="J2" s="138" t="s">
        <v>5</v>
      </c>
      <c r="K2" s="138" t="s">
        <v>6</v>
      </c>
      <c r="L2" s="138" t="s">
        <v>7</v>
      </c>
      <c r="M2" s="138" t="s">
        <v>8</v>
      </c>
      <c r="N2" s="138" t="s">
        <v>9</v>
      </c>
      <c r="O2" s="138" t="s">
        <v>1589</v>
      </c>
      <c r="P2" s="138" t="s">
        <v>11</v>
      </c>
      <c r="Q2" s="138" t="s">
        <v>12</v>
      </c>
      <c r="R2" s="138" t="s">
        <v>14</v>
      </c>
      <c r="S2" s="138" t="s">
        <v>16</v>
      </c>
      <c r="T2" s="138" t="s">
        <v>1590</v>
      </c>
      <c r="U2" s="151" t="s">
        <v>18</v>
      </c>
      <c r="V2" s="553" t="s">
        <v>20</v>
      </c>
    </row>
    <row r="3" spans="1:23">
      <c r="A3" s="144" t="s">
        <v>129</v>
      </c>
      <c r="D3" s="755" t="s">
        <v>2289</v>
      </c>
      <c r="E3" s="755">
        <v>6</v>
      </c>
      <c r="F3" s="755" t="s">
        <v>1565</v>
      </c>
      <c r="G3" s="755" t="s">
        <v>129</v>
      </c>
      <c r="H3" s="755" t="s">
        <v>637</v>
      </c>
      <c r="I3" s="755" t="s">
        <v>638</v>
      </c>
      <c r="J3" s="755">
        <v>1045047257</v>
      </c>
      <c r="K3" s="755" t="s">
        <v>1187</v>
      </c>
      <c r="L3" s="765">
        <v>32435</v>
      </c>
      <c r="M3" s="757">
        <f ca="1">DATEDIF(L3,TODAY(),"Y")</f>
        <v>37</v>
      </c>
      <c r="N3" s="755" t="s">
        <v>1588</v>
      </c>
      <c r="O3" s="809">
        <v>3003192315</v>
      </c>
      <c r="P3" s="809" t="s">
        <v>639</v>
      </c>
      <c r="Q3" s="755" t="s">
        <v>637</v>
      </c>
      <c r="R3" s="821" t="s">
        <v>321</v>
      </c>
      <c r="S3" s="822" t="s">
        <v>663</v>
      </c>
      <c r="T3" s="809">
        <v>2007</v>
      </c>
      <c r="U3" s="760" t="s">
        <v>166</v>
      </c>
      <c r="V3" s="761" t="s">
        <v>210</v>
      </c>
    </row>
    <row r="4" spans="1:23">
      <c r="D4" s="200"/>
      <c r="E4" s="200">
        <v>6</v>
      </c>
      <c r="F4" s="200" t="s">
        <v>1565</v>
      </c>
      <c r="G4" s="200" t="s">
        <v>129</v>
      </c>
      <c r="H4" s="200" t="s">
        <v>637</v>
      </c>
      <c r="I4" s="200" t="s">
        <v>640</v>
      </c>
      <c r="J4" s="200">
        <v>1039457722</v>
      </c>
      <c r="K4" s="200" t="s">
        <v>1187</v>
      </c>
      <c r="L4" s="191">
        <v>33804</v>
      </c>
      <c r="M4" s="238">
        <f t="shared" ref="M4:M14" ca="1" si="0">DATEDIF(L4,TODAY(),"Y")</f>
        <v>33</v>
      </c>
      <c r="N4" s="200" t="s">
        <v>1588</v>
      </c>
      <c r="O4" s="183">
        <v>3197537781</v>
      </c>
      <c r="P4" s="183" t="s">
        <v>641</v>
      </c>
      <c r="Q4" s="200" t="s">
        <v>637</v>
      </c>
      <c r="R4" s="234" t="s">
        <v>333</v>
      </c>
      <c r="S4" s="235" t="s">
        <v>663</v>
      </c>
      <c r="T4" s="183">
        <v>2007</v>
      </c>
      <c r="U4" s="224" t="s">
        <v>160</v>
      </c>
      <c r="V4" s="144" t="s">
        <v>210</v>
      </c>
    </row>
    <row r="5" spans="1:23">
      <c r="A5" s="144" t="s">
        <v>1191</v>
      </c>
      <c r="B5" s="140" t="s">
        <v>333</v>
      </c>
      <c r="C5" s="140"/>
      <c r="D5" s="755" t="s">
        <v>2289</v>
      </c>
      <c r="E5" s="755">
        <v>6</v>
      </c>
      <c r="F5" s="823" t="s">
        <v>1565</v>
      </c>
      <c r="G5" s="755" t="s">
        <v>129</v>
      </c>
      <c r="H5" s="809" t="s">
        <v>642</v>
      </c>
      <c r="I5" s="809" t="s">
        <v>643</v>
      </c>
      <c r="J5" s="809">
        <v>43279548</v>
      </c>
      <c r="K5" s="755" t="s">
        <v>1191</v>
      </c>
      <c r="L5" s="765">
        <v>29857</v>
      </c>
      <c r="M5" s="757">
        <f t="shared" ca="1" si="0"/>
        <v>44</v>
      </c>
      <c r="N5" s="755" t="s">
        <v>1588</v>
      </c>
      <c r="O5" s="809">
        <v>3108398626</v>
      </c>
      <c r="P5" s="809" t="s">
        <v>644</v>
      </c>
      <c r="Q5" s="755" t="s">
        <v>1651</v>
      </c>
      <c r="R5" s="821" t="s">
        <v>192</v>
      </c>
      <c r="S5" s="822" t="s">
        <v>663</v>
      </c>
      <c r="T5" s="809">
        <v>2009</v>
      </c>
      <c r="U5" s="760" t="s">
        <v>166</v>
      </c>
      <c r="V5" s="761" t="s">
        <v>210</v>
      </c>
    </row>
    <row r="6" spans="1:23">
      <c r="A6" s="144" t="s">
        <v>1187</v>
      </c>
      <c r="B6" s="140" t="s">
        <v>164</v>
      </c>
      <c r="C6" s="140"/>
      <c r="D6" s="195"/>
      <c r="E6" s="195">
        <v>6</v>
      </c>
      <c r="F6" s="308" t="s">
        <v>1565</v>
      </c>
      <c r="G6" s="195" t="s">
        <v>129</v>
      </c>
      <c r="H6" s="209" t="s">
        <v>642</v>
      </c>
      <c r="I6" s="209" t="s">
        <v>645</v>
      </c>
      <c r="J6" s="209">
        <v>98655812</v>
      </c>
      <c r="K6" s="195" t="s">
        <v>1187</v>
      </c>
      <c r="L6" s="240">
        <v>29799</v>
      </c>
      <c r="M6" s="239">
        <f t="shared" ca="1" si="0"/>
        <v>44</v>
      </c>
      <c r="N6" s="195" t="s">
        <v>1588</v>
      </c>
      <c r="O6" s="209">
        <v>3128728400</v>
      </c>
      <c r="P6" s="209" t="s">
        <v>646</v>
      </c>
      <c r="Q6" s="195" t="s">
        <v>1651</v>
      </c>
      <c r="R6" s="236" t="s">
        <v>333</v>
      </c>
      <c r="S6" s="237" t="s">
        <v>663</v>
      </c>
      <c r="T6" s="209">
        <v>2009</v>
      </c>
      <c r="U6" s="221" t="s">
        <v>160</v>
      </c>
      <c r="V6" s="144" t="s">
        <v>210</v>
      </c>
    </row>
    <row r="7" spans="1:23">
      <c r="A7" s="144" t="s">
        <v>1585</v>
      </c>
      <c r="B7" s="140" t="s">
        <v>321</v>
      </c>
      <c r="C7" s="140"/>
      <c r="D7" s="195"/>
      <c r="E7" s="195">
        <v>6</v>
      </c>
      <c r="F7" s="308" t="s">
        <v>1565</v>
      </c>
      <c r="G7" s="195" t="s">
        <v>129</v>
      </c>
      <c r="H7" s="209" t="s">
        <v>642</v>
      </c>
      <c r="I7" s="209" t="s">
        <v>647</v>
      </c>
      <c r="J7" s="209">
        <v>1000748612</v>
      </c>
      <c r="K7" s="195" t="s">
        <v>1191</v>
      </c>
      <c r="L7" s="177">
        <v>37052</v>
      </c>
      <c r="M7" s="239">
        <f t="shared" ca="1" si="0"/>
        <v>24</v>
      </c>
      <c r="N7" s="195" t="s">
        <v>1588</v>
      </c>
      <c r="O7" s="209">
        <v>3053150384</v>
      </c>
      <c r="P7" s="209" t="s">
        <v>648</v>
      </c>
      <c r="Q7" s="195" t="s">
        <v>1651</v>
      </c>
      <c r="R7" s="236" t="s">
        <v>321</v>
      </c>
      <c r="S7" s="237" t="s">
        <v>663</v>
      </c>
      <c r="T7" s="209">
        <v>2014</v>
      </c>
      <c r="U7" s="221" t="s">
        <v>160</v>
      </c>
      <c r="V7" s="144" t="s">
        <v>210</v>
      </c>
    </row>
    <row r="8" spans="1:23">
      <c r="B8" s="140" t="s">
        <v>192</v>
      </c>
      <c r="C8" s="140"/>
      <c r="D8" s="195"/>
      <c r="E8" s="195">
        <v>6</v>
      </c>
      <c r="F8" s="308" t="s">
        <v>1565</v>
      </c>
      <c r="G8" s="195" t="s">
        <v>129</v>
      </c>
      <c r="H8" s="209" t="s">
        <v>642</v>
      </c>
      <c r="I8" s="209" t="s">
        <v>649</v>
      </c>
      <c r="J8" s="209">
        <v>1015068208</v>
      </c>
      <c r="K8" s="195" t="s">
        <v>1191</v>
      </c>
      <c r="L8" s="177">
        <v>38419</v>
      </c>
      <c r="M8" s="239">
        <f t="shared" ca="1" si="0"/>
        <v>21</v>
      </c>
      <c r="N8" s="195" t="s">
        <v>1588</v>
      </c>
      <c r="O8" s="209">
        <v>3243010278</v>
      </c>
      <c r="P8" s="209" t="s">
        <v>650</v>
      </c>
      <c r="Q8" s="195" t="s">
        <v>1651</v>
      </c>
      <c r="R8" s="236" t="s">
        <v>192</v>
      </c>
      <c r="S8" s="237" t="s">
        <v>663</v>
      </c>
      <c r="T8" s="209">
        <v>2019</v>
      </c>
      <c r="U8" s="221" t="s">
        <v>160</v>
      </c>
      <c r="V8" s="144" t="s">
        <v>210</v>
      </c>
    </row>
    <row r="9" spans="1:23">
      <c r="A9" s="144" t="s">
        <v>56</v>
      </c>
      <c r="B9" s="140" t="s">
        <v>876</v>
      </c>
      <c r="C9" s="140"/>
      <c r="D9" s="195"/>
      <c r="E9" s="195">
        <v>6</v>
      </c>
      <c r="F9" s="308" t="s">
        <v>1565</v>
      </c>
      <c r="G9" s="195" t="s">
        <v>129</v>
      </c>
      <c r="H9" s="209" t="s">
        <v>642</v>
      </c>
      <c r="I9" s="209" t="s">
        <v>651</v>
      </c>
      <c r="J9" s="209">
        <v>1015072377</v>
      </c>
      <c r="K9" s="195" t="s">
        <v>1187</v>
      </c>
      <c r="L9" s="177">
        <v>39413</v>
      </c>
      <c r="M9" s="239">
        <f t="shared" ca="1" si="0"/>
        <v>18</v>
      </c>
      <c r="N9" s="195" t="s">
        <v>1588</v>
      </c>
      <c r="O9" s="209">
        <v>3001655241</v>
      </c>
      <c r="P9" s="209" t="s">
        <v>644</v>
      </c>
      <c r="Q9" s="195" t="s">
        <v>1651</v>
      </c>
      <c r="R9" s="236" t="s">
        <v>192</v>
      </c>
      <c r="S9" s="237" t="s">
        <v>663</v>
      </c>
      <c r="T9" s="209">
        <v>2022</v>
      </c>
      <c r="U9" s="221" t="s">
        <v>160</v>
      </c>
      <c r="V9" s="144" t="s">
        <v>210</v>
      </c>
    </row>
    <row r="10" spans="1:23">
      <c r="A10" s="144" t="s">
        <v>212</v>
      </c>
      <c r="B10" s="140" t="s">
        <v>891</v>
      </c>
      <c r="C10" s="140"/>
      <c r="D10" s="195"/>
      <c r="E10" s="195">
        <v>6</v>
      </c>
      <c r="F10" s="308" t="s">
        <v>1565</v>
      </c>
      <c r="G10" s="195" t="s">
        <v>129</v>
      </c>
      <c r="H10" s="209" t="s">
        <v>642</v>
      </c>
      <c r="I10" s="209" t="s">
        <v>652</v>
      </c>
      <c r="J10" s="209">
        <v>43271870</v>
      </c>
      <c r="K10" s="195" t="s">
        <v>1191</v>
      </c>
      <c r="L10" s="177">
        <v>29841</v>
      </c>
      <c r="M10" s="239">
        <f t="shared" ca="1" si="0"/>
        <v>44</v>
      </c>
      <c r="N10" s="195" t="s">
        <v>1588</v>
      </c>
      <c r="O10" s="209">
        <v>3105494790</v>
      </c>
      <c r="P10" s="209" t="s">
        <v>644</v>
      </c>
      <c r="Q10" s="195" t="s">
        <v>1651</v>
      </c>
      <c r="R10" s="236" t="s">
        <v>321</v>
      </c>
      <c r="S10" s="237" t="s">
        <v>663</v>
      </c>
      <c r="T10" s="209">
        <v>2009</v>
      </c>
      <c r="U10" s="221" t="s">
        <v>160</v>
      </c>
      <c r="V10" s="144" t="s">
        <v>210</v>
      </c>
    </row>
    <row r="11" spans="1:23">
      <c r="A11" s="144" t="s">
        <v>73</v>
      </c>
      <c r="B11" s="140" t="s">
        <v>1585</v>
      </c>
      <c r="C11" s="140"/>
      <c r="D11" s="195"/>
      <c r="E11" s="195">
        <v>6</v>
      </c>
      <c r="F11" s="308" t="s">
        <v>1565</v>
      </c>
      <c r="G11" s="195" t="s">
        <v>129</v>
      </c>
      <c r="H11" s="209" t="s">
        <v>642</v>
      </c>
      <c r="I11" s="209" t="s">
        <v>653</v>
      </c>
      <c r="J11" s="209">
        <v>1128400896</v>
      </c>
      <c r="K11" s="195" t="s">
        <v>1187</v>
      </c>
      <c r="L11" s="177">
        <v>33091</v>
      </c>
      <c r="M11" s="239">
        <f t="shared" ca="1" si="0"/>
        <v>35</v>
      </c>
      <c r="N11" s="195" t="s">
        <v>1588</v>
      </c>
      <c r="O11" s="209">
        <v>3163083481</v>
      </c>
      <c r="P11" s="209" t="s">
        <v>654</v>
      </c>
      <c r="Q11" s="195" t="s">
        <v>1651</v>
      </c>
      <c r="R11" s="236" t="s">
        <v>164</v>
      </c>
      <c r="S11" s="237" t="s">
        <v>663</v>
      </c>
      <c r="T11" s="209">
        <v>2009</v>
      </c>
      <c r="U11" s="221" t="s">
        <v>160</v>
      </c>
      <c r="V11" s="144" t="s">
        <v>210</v>
      </c>
    </row>
    <row r="12" spans="1:23">
      <c r="A12" s="144" t="s">
        <v>272</v>
      </c>
      <c r="D12" s="195"/>
      <c r="E12" s="195">
        <v>6</v>
      </c>
      <c r="F12" s="308" t="s">
        <v>1565</v>
      </c>
      <c r="G12" s="195" t="s">
        <v>129</v>
      </c>
      <c r="H12" s="209" t="s">
        <v>642</v>
      </c>
      <c r="I12" s="209" t="s">
        <v>655</v>
      </c>
      <c r="J12" s="209">
        <v>43570219</v>
      </c>
      <c r="K12" s="195" t="s">
        <v>1191</v>
      </c>
      <c r="L12" s="177">
        <v>26682</v>
      </c>
      <c r="M12" s="239">
        <f t="shared" ca="1" si="0"/>
        <v>53</v>
      </c>
      <c r="N12" s="195" t="s">
        <v>1588</v>
      </c>
      <c r="O12" s="209">
        <v>3156159135</v>
      </c>
      <c r="P12" s="209" t="s">
        <v>656</v>
      </c>
      <c r="Q12" s="195" t="s">
        <v>1651</v>
      </c>
      <c r="R12" s="236" t="s">
        <v>321</v>
      </c>
      <c r="S12" s="237" t="s">
        <v>663</v>
      </c>
      <c r="T12" s="209">
        <v>2009</v>
      </c>
      <c r="U12" s="221" t="s">
        <v>160</v>
      </c>
      <c r="V12" s="144" t="s">
        <v>210</v>
      </c>
    </row>
    <row r="13" spans="1:23">
      <c r="A13" s="144" t="s">
        <v>114</v>
      </c>
      <c r="B13" s="208" t="s">
        <v>461</v>
      </c>
      <c r="C13" s="208"/>
      <c r="D13" s="195"/>
      <c r="E13" s="195">
        <v>6</v>
      </c>
      <c r="F13" s="308" t="s">
        <v>1565</v>
      </c>
      <c r="G13" s="195" t="s">
        <v>129</v>
      </c>
      <c r="H13" s="209" t="s">
        <v>642</v>
      </c>
      <c r="I13" s="209" t="s">
        <v>657</v>
      </c>
      <c r="J13" s="209">
        <v>39435342</v>
      </c>
      <c r="K13" s="195" t="s">
        <v>1191</v>
      </c>
      <c r="L13" s="177">
        <v>22724</v>
      </c>
      <c r="M13" s="239">
        <f t="shared" ca="1" si="0"/>
        <v>64</v>
      </c>
      <c r="N13" s="195" t="s">
        <v>1588</v>
      </c>
      <c r="O13" s="209">
        <v>3137782984</v>
      </c>
      <c r="P13" s="209" t="s">
        <v>644</v>
      </c>
      <c r="Q13" s="195" t="s">
        <v>1651</v>
      </c>
      <c r="R13" s="236" t="s">
        <v>891</v>
      </c>
      <c r="S13" s="237" t="s">
        <v>663</v>
      </c>
      <c r="T13" s="209">
        <v>2025</v>
      </c>
      <c r="U13" s="221" t="s">
        <v>160</v>
      </c>
      <c r="V13" s="144" t="s">
        <v>210</v>
      </c>
    </row>
    <row r="14" spans="1:23">
      <c r="A14" s="144" t="s">
        <v>1586</v>
      </c>
      <c r="B14" s="208" t="s">
        <v>663</v>
      </c>
      <c r="C14" s="208"/>
      <c r="D14" s="195"/>
      <c r="E14" s="195">
        <v>6</v>
      </c>
      <c r="F14" s="308" t="s">
        <v>1565</v>
      </c>
      <c r="G14" s="195" t="s">
        <v>129</v>
      </c>
      <c r="H14" s="209" t="s">
        <v>642</v>
      </c>
      <c r="I14" s="209" t="s">
        <v>658</v>
      </c>
      <c r="J14" s="209">
        <v>43527157</v>
      </c>
      <c r="K14" s="195" t="s">
        <v>1191</v>
      </c>
      <c r="L14" s="177">
        <v>24118</v>
      </c>
      <c r="M14" s="239">
        <f t="shared" ca="1" si="0"/>
        <v>60</v>
      </c>
      <c r="N14" s="195" t="s">
        <v>1588</v>
      </c>
      <c r="O14" s="209">
        <v>3235066789</v>
      </c>
      <c r="P14" s="209"/>
      <c r="Q14" s="195" t="s">
        <v>1651</v>
      </c>
      <c r="R14" s="236" t="s">
        <v>164</v>
      </c>
      <c r="S14" s="237" t="s">
        <v>663</v>
      </c>
      <c r="T14" s="209">
        <v>2019</v>
      </c>
      <c r="U14" s="221" t="s">
        <v>160</v>
      </c>
      <c r="V14" s="144" t="s">
        <v>210</v>
      </c>
    </row>
    <row r="15" spans="1:23">
      <c r="A15" s="144" t="s">
        <v>227</v>
      </c>
      <c r="B15" s="208" t="s">
        <v>170</v>
      </c>
      <c r="C15" s="208"/>
      <c r="H15" s="197"/>
      <c r="I15" s="197"/>
      <c r="K15" s="173"/>
      <c r="L15" s="206"/>
      <c r="M15" s="173"/>
      <c r="O15" s="197"/>
      <c r="P15" s="241"/>
      <c r="Q15" s="241"/>
      <c r="R15" s="241"/>
      <c r="S15" s="241"/>
      <c r="T15" s="241"/>
      <c r="U15" s="241"/>
      <c r="V15" s="241"/>
      <c r="W15" s="241"/>
    </row>
    <row r="16" spans="1:23">
      <c r="A16" s="144" t="s">
        <v>1587</v>
      </c>
      <c r="B16" s="208" t="s">
        <v>193</v>
      </c>
      <c r="C16" s="208"/>
      <c r="H16" s="197"/>
      <c r="I16" s="197"/>
      <c r="K16" s="173"/>
      <c r="L16" s="206"/>
      <c r="M16" s="173"/>
      <c r="O16" s="197"/>
      <c r="P16" s="241"/>
      <c r="Q16" s="241"/>
      <c r="R16" s="241"/>
      <c r="S16" s="241"/>
      <c r="T16" s="241"/>
      <c r="U16" s="241"/>
      <c r="V16" s="241"/>
      <c r="W16" s="241"/>
    </row>
    <row r="17" spans="1:27">
      <c r="A17" s="144" t="s">
        <v>1588</v>
      </c>
      <c r="B17" s="208" t="s">
        <v>1881</v>
      </c>
      <c r="C17" s="208"/>
      <c r="H17" s="197"/>
      <c r="I17" s="197"/>
      <c r="K17" s="173"/>
      <c r="L17" s="206"/>
      <c r="M17" s="173"/>
      <c r="O17" s="197"/>
      <c r="P17" s="241"/>
      <c r="Q17" s="241"/>
      <c r="R17" s="241"/>
      <c r="S17" s="241"/>
      <c r="T17" s="241"/>
      <c r="U17" s="241"/>
      <c r="V17" s="241"/>
      <c r="W17" s="241"/>
    </row>
    <row r="18" spans="1:27">
      <c r="B18" s="208" t="s">
        <v>1882</v>
      </c>
      <c r="C18" s="208"/>
      <c r="H18" s="197"/>
      <c r="I18" s="197"/>
      <c r="K18" s="173"/>
      <c r="L18" s="206"/>
      <c r="M18" s="173"/>
      <c r="O18" s="197"/>
      <c r="P18" s="241"/>
      <c r="Q18" s="241"/>
      <c r="R18" s="241"/>
      <c r="S18" s="241"/>
      <c r="T18" s="241"/>
      <c r="U18" s="241"/>
      <c r="V18" s="241"/>
      <c r="W18" s="241"/>
    </row>
    <row r="19" spans="1:27">
      <c r="A19" s="144" t="s">
        <v>160</v>
      </c>
      <c r="B19" s="208" t="s">
        <v>405</v>
      </c>
      <c r="C19" s="208"/>
      <c r="H19" s="197"/>
      <c r="I19" s="197"/>
      <c r="K19" s="173"/>
      <c r="L19" s="206"/>
      <c r="M19" s="173"/>
      <c r="O19" s="197"/>
      <c r="P19" s="241"/>
      <c r="Q19" s="241"/>
      <c r="R19" s="241"/>
      <c r="S19" s="241"/>
      <c r="T19" s="241"/>
      <c r="U19" s="241"/>
      <c r="V19" s="241"/>
      <c r="W19" s="241"/>
    </row>
    <row r="20" spans="1:27">
      <c r="A20" s="144" t="s">
        <v>166</v>
      </c>
      <c r="B20" s="208" t="s">
        <v>1883</v>
      </c>
      <c r="C20" s="208"/>
      <c r="H20" s="197"/>
      <c r="I20" s="197"/>
      <c r="K20" s="173"/>
      <c r="L20" s="206"/>
      <c r="M20" s="173"/>
      <c r="O20" s="197"/>
      <c r="P20" s="241"/>
      <c r="Q20" s="241"/>
      <c r="R20" s="241"/>
      <c r="S20" s="241"/>
      <c r="T20" s="241"/>
      <c r="U20" s="241"/>
      <c r="V20" s="241"/>
      <c r="W20" s="241"/>
      <c r="X20" s="173"/>
      <c r="Y20" s="173"/>
      <c r="Z20" s="173"/>
      <c r="AA20" s="173"/>
    </row>
    <row r="21" spans="1:27">
      <c r="B21" s="208" t="s">
        <v>230</v>
      </c>
      <c r="C21" s="208"/>
      <c r="H21" s="197"/>
      <c r="I21" s="197"/>
      <c r="K21" s="173"/>
      <c r="L21" s="206"/>
      <c r="M21" s="173"/>
      <c r="O21" s="197"/>
      <c r="P21" s="241"/>
      <c r="Q21" s="241"/>
      <c r="R21" s="241"/>
      <c r="S21" s="241"/>
      <c r="T21" s="241"/>
      <c r="U21" s="241"/>
      <c r="V21" s="241"/>
      <c r="W21" s="241"/>
      <c r="X21" s="197"/>
      <c r="Y21" s="230"/>
      <c r="Z21" s="173"/>
      <c r="AA21" s="173"/>
    </row>
    <row r="22" spans="1:27">
      <c r="A22" s="144" t="s">
        <v>1645</v>
      </c>
      <c r="B22" s="208" t="s">
        <v>1884</v>
      </c>
      <c r="C22" s="208"/>
      <c r="K22" s="173"/>
      <c r="L22" s="206"/>
      <c r="M22" s="173"/>
      <c r="P22" s="241"/>
      <c r="Q22" s="241"/>
      <c r="R22" s="241"/>
      <c r="S22" s="241"/>
      <c r="T22" s="241"/>
      <c r="U22" s="241"/>
      <c r="V22" s="241"/>
      <c r="W22" s="241"/>
    </row>
    <row r="23" spans="1:27">
      <c r="A23" s="144" t="s">
        <v>1646</v>
      </c>
      <c r="B23" s="208" t="s">
        <v>1885</v>
      </c>
      <c r="C23" s="208"/>
      <c r="D23" s="231"/>
      <c r="K23" s="173"/>
      <c r="L23" s="206"/>
      <c r="M23" s="173"/>
      <c r="P23" s="241"/>
      <c r="Q23" s="241"/>
      <c r="R23" s="241"/>
      <c r="S23" s="241"/>
      <c r="T23" s="241"/>
      <c r="U23" s="241"/>
      <c r="V23" s="241"/>
      <c r="W23" s="241"/>
    </row>
    <row r="24" spans="1:27">
      <c r="A24" s="144" t="s">
        <v>1647</v>
      </c>
      <c r="B24" s="208" t="s">
        <v>1886</v>
      </c>
      <c r="C24" s="208"/>
      <c r="K24" s="173"/>
      <c r="L24" s="206"/>
      <c r="M24" s="173"/>
      <c r="P24" s="241"/>
      <c r="Q24" s="241"/>
      <c r="R24" s="241"/>
      <c r="S24" s="241"/>
      <c r="T24" s="241"/>
      <c r="U24" s="241"/>
      <c r="V24" s="241"/>
      <c r="W24" s="241"/>
    </row>
    <row r="25" spans="1:27">
      <c r="A25" s="144" t="s">
        <v>637</v>
      </c>
      <c r="B25" s="208" t="s">
        <v>1887</v>
      </c>
      <c r="C25" s="208"/>
      <c r="K25" s="173"/>
      <c r="L25" s="206"/>
      <c r="M25" s="173"/>
      <c r="P25" s="241"/>
      <c r="Q25" s="241"/>
      <c r="R25" s="241"/>
      <c r="S25" s="241"/>
      <c r="T25" s="241"/>
      <c r="U25" s="241"/>
      <c r="V25" s="241"/>
      <c r="W25" s="241"/>
    </row>
    <row r="26" spans="1:27">
      <c r="A26" s="144" t="s">
        <v>1648</v>
      </c>
      <c r="B26" s="208" t="s">
        <v>1888</v>
      </c>
      <c r="C26" s="208"/>
      <c r="K26" s="173"/>
      <c r="L26" s="206"/>
      <c r="M26" s="173"/>
      <c r="P26" s="241"/>
      <c r="Q26" s="241"/>
      <c r="R26" s="241"/>
      <c r="S26" s="241"/>
      <c r="T26" s="241"/>
      <c r="U26" s="241"/>
      <c r="V26" s="241"/>
      <c r="W26" s="241"/>
    </row>
    <row r="27" spans="1:27">
      <c r="A27" s="144" t="s">
        <v>1649</v>
      </c>
      <c r="B27" s="208" t="s">
        <v>1889</v>
      </c>
      <c r="C27" s="208"/>
      <c r="K27" s="173"/>
      <c r="L27" s="206"/>
      <c r="M27" s="173"/>
      <c r="P27" s="241"/>
      <c r="Q27" s="241"/>
      <c r="R27" s="241"/>
      <c r="S27" s="241"/>
      <c r="T27" s="241"/>
      <c r="U27" s="241"/>
      <c r="V27" s="241"/>
      <c r="W27" s="241"/>
    </row>
    <row r="28" spans="1:27">
      <c r="A28" s="144" t="s">
        <v>1650</v>
      </c>
      <c r="B28" s="208" t="s">
        <v>1890</v>
      </c>
      <c r="C28" s="208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</row>
    <row r="29" spans="1:27" ht="43.2" customHeight="1">
      <c r="A29" s="144" t="s">
        <v>1651</v>
      </c>
      <c r="B29" s="208" t="s">
        <v>1891</v>
      </c>
      <c r="C29" s="208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</row>
    <row r="30" spans="1:27">
      <c r="A30" s="144" t="s">
        <v>1652</v>
      </c>
      <c r="B30" s="208" t="s">
        <v>1892</v>
      </c>
      <c r="C30" s="208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</row>
    <row r="31" spans="1:27">
      <c r="A31" s="144" t="s">
        <v>1653</v>
      </c>
      <c r="B31" s="208" t="s">
        <v>1893</v>
      </c>
      <c r="C31" s="208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</row>
    <row r="32" spans="1:27">
      <c r="A32" s="144" t="s">
        <v>1654</v>
      </c>
      <c r="B32" s="208" t="s">
        <v>1894</v>
      </c>
      <c r="C32" s="208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</row>
    <row r="33" spans="1:25">
      <c r="A33" s="144" t="s">
        <v>1655</v>
      </c>
      <c r="B33" s="208" t="s">
        <v>1895</v>
      </c>
      <c r="C33" s="208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</row>
    <row r="34" spans="1:25">
      <c r="B34" s="208" t="s">
        <v>1896</v>
      </c>
      <c r="C34" s="208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</row>
    <row r="35" spans="1:25">
      <c r="B35" s="144" t="s">
        <v>1899</v>
      </c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</row>
    <row r="36" spans="1:25">
      <c r="B36" s="144" t="s">
        <v>1900</v>
      </c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</row>
    <row r="37" spans="1:25">
      <c r="B37" s="140" t="s">
        <v>1898</v>
      </c>
      <c r="C37" s="140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</row>
    <row r="38" spans="1:25">
      <c r="B38" s="144" t="s">
        <v>218</v>
      </c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</row>
    <row r="39" spans="1:25">
      <c r="B39" s="144" t="s">
        <v>1585</v>
      </c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</row>
    <row r="40" spans="1:25"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</row>
    <row r="41" spans="1:25"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</row>
    <row r="42" spans="1:25"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</row>
    <row r="43" spans="1:25"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</row>
    <row r="44" spans="1:25"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</row>
  </sheetData>
  <phoneticPr fontId="43" type="noConversion"/>
  <dataValidations count="7">
    <dataValidation type="list" allowBlank="1" showInputMessage="1" showErrorMessage="1" sqref="U3:U14" xr:uid="{1B40C91B-9B60-4353-ACB4-8856EF67CE41}">
      <formula1>$A$18:$A$20</formula1>
    </dataValidation>
    <dataValidation type="list" allowBlank="1" showInputMessage="1" showErrorMessage="1" sqref="N3:N14" xr:uid="{9B1E5D62-A3E6-4D0F-A8C0-CE701787D93E}">
      <formula1>$A$8:$A$17</formula1>
    </dataValidation>
    <dataValidation type="list" allowBlank="1" showInputMessage="1" showErrorMessage="1" sqref="K3:K14" xr:uid="{C2F23144-8AD8-4908-867E-70052B94CBA3}">
      <formula1>$A$4:$A$7</formula1>
    </dataValidation>
    <dataValidation type="list" allowBlank="1" showInputMessage="1" showErrorMessage="1" sqref="G3:G23" xr:uid="{B7B05603-1257-412A-86E3-F9AE68FEB179}">
      <formula1>$A$1:$A$3</formula1>
    </dataValidation>
    <dataValidation type="list" allowBlank="1" showInputMessage="1" showErrorMessage="1" sqref="Q3:Q14" xr:uid="{40A96F29-2282-48C2-8889-30834B03B9A7}">
      <formula1>$A$21:$A$33</formula1>
    </dataValidation>
    <dataValidation type="list" allowBlank="1" showInputMessage="1" showErrorMessage="1" sqref="R3:R14" xr:uid="{6D5EEA5E-979A-4695-ADDD-8C7A59335046}">
      <formula1>$B$5:$B$11</formula1>
    </dataValidation>
    <dataValidation type="list" allowBlank="1" showInputMessage="1" showErrorMessage="1" sqref="S3:S14" xr:uid="{1D0C8CFF-6436-4D47-A401-3475C8E4A285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2489-ED09-4614-B326-C27081DC2AE6}">
  <dimension ref="A2:V139"/>
  <sheetViews>
    <sheetView topLeftCell="H1" zoomScale="85" zoomScaleNormal="85" workbookViewId="0">
      <selection activeCell="I147" sqref="I147"/>
    </sheetView>
  </sheetViews>
  <sheetFormatPr baseColWidth="10" defaultColWidth="11.5546875" defaultRowHeight="14.4"/>
  <cols>
    <col min="1" max="1" width="22.6640625" style="144" bestFit="1" customWidth="1"/>
    <col min="2" max="3" width="29.6640625" style="144" customWidth="1"/>
    <col min="4" max="4" width="12.44140625" style="144" customWidth="1"/>
    <col min="5" max="5" width="11.6640625" style="144" bestFit="1" customWidth="1"/>
    <col min="6" max="6" width="11.6640625" style="144" customWidth="1"/>
    <col min="7" max="7" width="19.33203125" style="144" customWidth="1"/>
    <col min="8" max="8" width="66.6640625" style="144" bestFit="1" customWidth="1"/>
    <col min="9" max="9" width="24.33203125" style="144" customWidth="1"/>
    <col min="10" max="10" width="12.5546875" style="144" bestFit="1" customWidth="1"/>
    <col min="11" max="11" width="11.5546875" style="144"/>
    <col min="12" max="12" width="21.5546875" style="144" customWidth="1"/>
    <col min="13" max="13" width="11.6640625" style="144" bestFit="1" customWidth="1"/>
    <col min="14" max="14" width="16.33203125" style="144" customWidth="1"/>
    <col min="15" max="15" width="11.88671875" style="144" bestFit="1" customWidth="1"/>
    <col min="16" max="16" width="19.44140625" style="144" customWidth="1"/>
    <col min="17" max="17" width="11.5546875" style="144"/>
    <col min="18" max="18" width="12.44140625" style="144" customWidth="1"/>
    <col min="19" max="19" width="11.5546875" style="144"/>
    <col min="20" max="20" width="26.33203125" style="144" customWidth="1"/>
    <col min="21" max="21" width="26.4414062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38" t="s">
        <v>1854</v>
      </c>
      <c r="G2" s="138" t="s">
        <v>1584</v>
      </c>
      <c r="H2" s="138" t="s">
        <v>418</v>
      </c>
      <c r="I2" s="138" t="s">
        <v>1410</v>
      </c>
      <c r="J2" s="138" t="s">
        <v>5</v>
      </c>
      <c r="K2" s="138" t="s">
        <v>6</v>
      </c>
      <c r="L2" s="138" t="s">
        <v>7</v>
      </c>
      <c r="M2" s="138" t="s">
        <v>8</v>
      </c>
      <c r="N2" s="138" t="s">
        <v>9</v>
      </c>
      <c r="O2" s="138" t="s">
        <v>1589</v>
      </c>
      <c r="P2" s="138" t="s">
        <v>11</v>
      </c>
      <c r="Q2" s="138" t="s">
        <v>12</v>
      </c>
      <c r="R2" s="138" t="s">
        <v>14</v>
      </c>
      <c r="S2" s="138" t="s">
        <v>16</v>
      </c>
      <c r="T2" s="138" t="s">
        <v>1590</v>
      </c>
      <c r="U2" s="151" t="s">
        <v>18</v>
      </c>
      <c r="V2" s="553" t="s">
        <v>20</v>
      </c>
    </row>
    <row r="3" spans="1:22">
      <c r="A3" s="144" t="s">
        <v>129</v>
      </c>
      <c r="D3" s="824" t="s">
        <v>2289</v>
      </c>
      <c r="E3" s="755">
        <v>7</v>
      </c>
      <c r="F3" s="755" t="s">
        <v>1566</v>
      </c>
      <c r="G3" s="755" t="s">
        <v>129</v>
      </c>
      <c r="H3" s="825" t="s">
        <v>659</v>
      </c>
      <c r="I3" s="825" t="s">
        <v>682</v>
      </c>
      <c r="J3" s="825">
        <v>43086791</v>
      </c>
      <c r="K3" s="755" t="s">
        <v>1191</v>
      </c>
      <c r="L3" s="765">
        <v>24050</v>
      </c>
      <c r="M3" s="757">
        <f ca="1">DATEDIF(L3,TODAY(),"Y")</f>
        <v>60</v>
      </c>
      <c r="N3" s="755" t="s">
        <v>1588</v>
      </c>
      <c r="O3" s="825">
        <v>3103956080</v>
      </c>
      <c r="P3" s="825" t="s">
        <v>660</v>
      </c>
      <c r="Q3" s="755" t="s">
        <v>1669</v>
      </c>
      <c r="R3" s="821" t="s">
        <v>333</v>
      </c>
      <c r="S3" s="822" t="s">
        <v>461</v>
      </c>
      <c r="T3" s="755"/>
      <c r="U3" s="760" t="s">
        <v>166</v>
      </c>
      <c r="V3" s="761" t="s">
        <v>210</v>
      </c>
    </row>
    <row r="4" spans="1:22" hidden="1">
      <c r="D4" s="289"/>
      <c r="E4" s="200">
        <v>7</v>
      </c>
      <c r="F4" s="200" t="s">
        <v>1566</v>
      </c>
      <c r="G4" s="200" t="s">
        <v>129</v>
      </c>
      <c r="H4" s="242" t="s">
        <v>659</v>
      </c>
      <c r="I4" s="242" t="s">
        <v>661</v>
      </c>
      <c r="J4" s="242">
        <v>71720725</v>
      </c>
      <c r="K4" s="200" t="s">
        <v>1187</v>
      </c>
      <c r="L4" s="191">
        <v>25790</v>
      </c>
      <c r="M4" s="238">
        <f t="shared" ref="M4:M12" ca="1" si="0">DATEDIF(L4,TODAY(),"Y")</f>
        <v>55</v>
      </c>
      <c r="N4" s="200" t="s">
        <v>1588</v>
      </c>
      <c r="O4" s="243">
        <v>3232850207</v>
      </c>
      <c r="P4" s="244" t="s">
        <v>662</v>
      </c>
      <c r="Q4" s="200" t="s">
        <v>1669</v>
      </c>
      <c r="R4" s="234" t="s">
        <v>192</v>
      </c>
      <c r="S4" s="235" t="s">
        <v>663</v>
      </c>
      <c r="T4" s="200"/>
      <c r="U4" s="224" t="s">
        <v>160</v>
      </c>
      <c r="V4" s="144" t="s">
        <v>210</v>
      </c>
    </row>
    <row r="5" spans="1:22" hidden="1">
      <c r="A5" s="144" t="s">
        <v>1191</v>
      </c>
      <c r="B5" s="139" t="s">
        <v>333</v>
      </c>
      <c r="C5" s="139"/>
      <c r="D5" s="289"/>
      <c r="E5" s="200">
        <v>7</v>
      </c>
      <c r="F5" s="200" t="s">
        <v>1566</v>
      </c>
      <c r="G5" s="200" t="s">
        <v>129</v>
      </c>
      <c r="H5" s="243" t="s">
        <v>659</v>
      </c>
      <c r="I5" s="243" t="s">
        <v>664</v>
      </c>
      <c r="J5" s="243">
        <v>1216722320</v>
      </c>
      <c r="K5" s="200" t="s">
        <v>1191</v>
      </c>
      <c r="L5" s="191">
        <v>35167</v>
      </c>
      <c r="M5" s="238">
        <f t="shared" ca="1" si="0"/>
        <v>30</v>
      </c>
      <c r="N5" s="200" t="s">
        <v>1588</v>
      </c>
      <c r="O5" s="243">
        <v>3175055725</v>
      </c>
      <c r="P5" s="244" t="s">
        <v>665</v>
      </c>
      <c r="Q5" s="200" t="s">
        <v>1669</v>
      </c>
      <c r="R5" s="234" t="s">
        <v>333</v>
      </c>
      <c r="S5" s="235" t="s">
        <v>663</v>
      </c>
      <c r="T5" s="200"/>
      <c r="U5" s="224" t="s">
        <v>160</v>
      </c>
      <c r="V5" s="144" t="s">
        <v>210</v>
      </c>
    </row>
    <row r="6" spans="1:22" hidden="1">
      <c r="A6" s="144" t="s">
        <v>1187</v>
      </c>
      <c r="B6" s="139" t="s">
        <v>164</v>
      </c>
      <c r="C6" s="139"/>
      <c r="D6" s="289"/>
      <c r="E6" s="200">
        <v>7</v>
      </c>
      <c r="F6" s="200" t="s">
        <v>1566</v>
      </c>
      <c r="G6" s="200" t="s">
        <v>129</v>
      </c>
      <c r="H6" s="243" t="s">
        <v>659</v>
      </c>
      <c r="I6" s="243" t="s">
        <v>666</v>
      </c>
      <c r="J6" s="243">
        <v>1000099448</v>
      </c>
      <c r="K6" s="200" t="s">
        <v>1191</v>
      </c>
      <c r="L6" s="191">
        <v>36763</v>
      </c>
      <c r="M6" s="238">
        <f t="shared" ca="1" si="0"/>
        <v>25</v>
      </c>
      <c r="N6" s="200" t="s">
        <v>1588</v>
      </c>
      <c r="O6" s="243">
        <v>3116451497</v>
      </c>
      <c r="P6" s="243" t="s">
        <v>667</v>
      </c>
      <c r="Q6" s="200" t="s">
        <v>1669</v>
      </c>
      <c r="R6" s="234" t="s">
        <v>333</v>
      </c>
      <c r="S6" s="235" t="s">
        <v>461</v>
      </c>
      <c r="T6" s="200"/>
      <c r="U6" s="224" t="s">
        <v>160</v>
      </c>
      <c r="V6" s="144" t="s">
        <v>210</v>
      </c>
    </row>
    <row r="7" spans="1:22" hidden="1">
      <c r="A7" s="144" t="s">
        <v>1585</v>
      </c>
      <c r="B7" s="139" t="s">
        <v>321</v>
      </c>
      <c r="C7" s="139"/>
      <c r="D7" s="289"/>
      <c r="E7" s="200">
        <v>7</v>
      </c>
      <c r="F7" s="200" t="s">
        <v>1566</v>
      </c>
      <c r="G7" s="200" t="s">
        <v>129</v>
      </c>
      <c r="H7" s="243" t="s">
        <v>659</v>
      </c>
      <c r="I7" s="243" t="s">
        <v>668</v>
      </c>
      <c r="J7" s="243">
        <v>1000396597</v>
      </c>
      <c r="K7" s="200" t="s">
        <v>1187</v>
      </c>
      <c r="L7" s="282">
        <v>36577</v>
      </c>
      <c r="M7" s="238">
        <f t="shared" ca="1" si="0"/>
        <v>26</v>
      </c>
      <c r="N7" s="200" t="s">
        <v>1588</v>
      </c>
      <c r="O7" s="243">
        <v>3005063301</v>
      </c>
      <c r="P7" s="243" t="s">
        <v>669</v>
      </c>
      <c r="Q7" s="200" t="s">
        <v>1669</v>
      </c>
      <c r="R7" s="234" t="s">
        <v>192</v>
      </c>
      <c r="S7" s="235" t="s">
        <v>663</v>
      </c>
      <c r="T7" s="200"/>
      <c r="U7" s="224" t="s">
        <v>160</v>
      </c>
      <c r="V7" s="144" t="s">
        <v>210</v>
      </c>
    </row>
    <row r="8" spans="1:22" hidden="1">
      <c r="B8" s="139" t="s">
        <v>192</v>
      </c>
      <c r="C8" s="139"/>
      <c r="D8" s="289"/>
      <c r="E8" s="200">
        <v>7</v>
      </c>
      <c r="F8" s="200" t="s">
        <v>1566</v>
      </c>
      <c r="G8" s="200" t="s">
        <v>129</v>
      </c>
      <c r="H8" s="243" t="s">
        <v>659</v>
      </c>
      <c r="I8" s="243" t="s">
        <v>670</v>
      </c>
      <c r="J8" s="243">
        <v>1001366878</v>
      </c>
      <c r="K8" s="200" t="s">
        <v>1187</v>
      </c>
      <c r="L8" s="191">
        <v>36883</v>
      </c>
      <c r="M8" s="238">
        <f t="shared" ca="1" si="0"/>
        <v>25</v>
      </c>
      <c r="N8" s="200" t="s">
        <v>1588</v>
      </c>
      <c r="O8" s="245">
        <v>3206209742</v>
      </c>
      <c r="P8" s="246" t="s">
        <v>671</v>
      </c>
      <c r="Q8" s="200" t="s">
        <v>1669</v>
      </c>
      <c r="R8" s="234" t="s">
        <v>333</v>
      </c>
      <c r="S8" s="235" t="s">
        <v>663</v>
      </c>
      <c r="T8" s="200"/>
      <c r="U8" s="224" t="s">
        <v>160</v>
      </c>
      <c r="V8" s="144" t="s">
        <v>210</v>
      </c>
    </row>
    <row r="9" spans="1:22" hidden="1">
      <c r="A9" s="144" t="s">
        <v>56</v>
      </c>
      <c r="B9" s="139" t="s">
        <v>876</v>
      </c>
      <c r="C9" s="139"/>
      <c r="D9" s="289"/>
      <c r="E9" s="200">
        <v>7</v>
      </c>
      <c r="F9" s="200" t="s">
        <v>1566</v>
      </c>
      <c r="G9" s="200" t="s">
        <v>129</v>
      </c>
      <c r="H9" s="243" t="s">
        <v>659</v>
      </c>
      <c r="I9" s="243" t="s">
        <v>672</v>
      </c>
      <c r="J9" s="243">
        <v>1216727988</v>
      </c>
      <c r="K9" s="200" t="s">
        <v>1191</v>
      </c>
      <c r="L9" s="191">
        <v>36173</v>
      </c>
      <c r="M9" s="238">
        <f t="shared" ca="1" si="0"/>
        <v>27</v>
      </c>
      <c r="N9" s="200" t="s">
        <v>1588</v>
      </c>
      <c r="O9" s="247">
        <v>3232850207</v>
      </c>
      <c r="P9" s="248"/>
      <c r="Q9" s="200" t="s">
        <v>1669</v>
      </c>
      <c r="R9" s="234"/>
      <c r="S9" s="235"/>
      <c r="T9" s="200"/>
      <c r="U9" s="224" t="s">
        <v>160</v>
      </c>
      <c r="V9" s="144" t="s">
        <v>210</v>
      </c>
    </row>
    <row r="10" spans="1:22" hidden="1">
      <c r="A10" s="144" t="s">
        <v>212</v>
      </c>
      <c r="B10" s="139" t="s">
        <v>891</v>
      </c>
      <c r="C10" s="139"/>
      <c r="D10" s="289"/>
      <c r="E10" s="200">
        <v>7</v>
      </c>
      <c r="F10" s="200" t="s">
        <v>1566</v>
      </c>
      <c r="G10" s="200" t="s">
        <v>129</v>
      </c>
      <c r="H10" s="243" t="s">
        <v>659</v>
      </c>
      <c r="I10" s="243" t="s">
        <v>673</v>
      </c>
      <c r="J10" s="243">
        <v>1216721267</v>
      </c>
      <c r="K10" s="200" t="s">
        <v>1187</v>
      </c>
      <c r="L10" s="191">
        <v>35232</v>
      </c>
      <c r="M10" s="238">
        <f t="shared" ca="1" si="0"/>
        <v>29</v>
      </c>
      <c r="N10" s="200" t="s">
        <v>1588</v>
      </c>
      <c r="O10" s="247" t="s">
        <v>674</v>
      </c>
      <c r="P10" s="248"/>
      <c r="Q10" s="200" t="s">
        <v>1669</v>
      </c>
      <c r="R10" s="234"/>
      <c r="S10" s="235"/>
      <c r="T10" s="200"/>
      <c r="U10" s="224" t="s">
        <v>160</v>
      </c>
      <c r="V10" s="144" t="s">
        <v>210</v>
      </c>
    </row>
    <row r="11" spans="1:22" hidden="1">
      <c r="A11" s="144" t="s">
        <v>73</v>
      </c>
      <c r="B11" s="139" t="s">
        <v>1585</v>
      </c>
      <c r="C11" s="139"/>
      <c r="D11" s="289"/>
      <c r="E11" s="200">
        <v>7</v>
      </c>
      <c r="F11" s="200" t="s">
        <v>1566</v>
      </c>
      <c r="G11" s="200" t="s">
        <v>129</v>
      </c>
      <c r="H11" s="243" t="s">
        <v>659</v>
      </c>
      <c r="I11" s="243" t="s">
        <v>675</v>
      </c>
      <c r="J11" s="243">
        <v>1000900606</v>
      </c>
      <c r="K11" s="200" t="s">
        <v>1187</v>
      </c>
      <c r="L11" s="191">
        <v>37779</v>
      </c>
      <c r="M11" s="238">
        <f t="shared" ca="1" si="0"/>
        <v>22</v>
      </c>
      <c r="N11" s="200" t="s">
        <v>1588</v>
      </c>
      <c r="O11" s="243">
        <v>3117149937</v>
      </c>
      <c r="P11" s="249" t="s">
        <v>1901</v>
      </c>
      <c r="Q11" s="200" t="s">
        <v>1669</v>
      </c>
      <c r="R11" s="234" t="s">
        <v>333</v>
      </c>
      <c r="S11" s="235" t="s">
        <v>663</v>
      </c>
      <c r="T11" s="200"/>
      <c r="U11" s="224" t="s">
        <v>160</v>
      </c>
      <c r="V11" s="144" t="s">
        <v>210</v>
      </c>
    </row>
    <row r="12" spans="1:22" hidden="1">
      <c r="A12" s="144" t="s">
        <v>272</v>
      </c>
      <c r="D12" s="289"/>
      <c r="E12" s="200">
        <v>7</v>
      </c>
      <c r="F12" s="200" t="s">
        <v>1566</v>
      </c>
      <c r="G12" s="200" t="s">
        <v>129</v>
      </c>
      <c r="H12" s="242" t="s">
        <v>659</v>
      </c>
      <c r="I12" s="242" t="s">
        <v>676</v>
      </c>
      <c r="J12" s="242">
        <v>1152448800</v>
      </c>
      <c r="K12" s="200" t="s">
        <v>1187</v>
      </c>
      <c r="L12" s="191">
        <v>34488</v>
      </c>
      <c r="M12" s="238">
        <f t="shared" ca="1" si="0"/>
        <v>31</v>
      </c>
      <c r="N12" s="200" t="s">
        <v>1588</v>
      </c>
      <c r="O12" s="243">
        <v>3145627964</v>
      </c>
      <c r="P12" s="249" t="s">
        <v>1902</v>
      </c>
      <c r="Q12" s="200" t="s">
        <v>1669</v>
      </c>
      <c r="R12" s="234" t="s">
        <v>321</v>
      </c>
      <c r="S12" s="235" t="s">
        <v>663</v>
      </c>
      <c r="T12" s="200"/>
      <c r="U12" s="224" t="s">
        <v>160</v>
      </c>
      <c r="V12" s="144" t="s">
        <v>210</v>
      </c>
    </row>
    <row r="13" spans="1:22">
      <c r="A13" s="144" t="s">
        <v>114</v>
      </c>
      <c r="B13" s="171" t="s">
        <v>461</v>
      </c>
      <c r="C13" s="171"/>
      <c r="D13" s="824" t="s">
        <v>2290</v>
      </c>
      <c r="E13" s="755">
        <v>7</v>
      </c>
      <c r="F13" s="755" t="s">
        <v>1566</v>
      </c>
      <c r="G13" s="755" t="s">
        <v>151</v>
      </c>
      <c r="H13" s="826" t="s">
        <v>2294</v>
      </c>
      <c r="I13" s="826" t="s">
        <v>680</v>
      </c>
      <c r="J13" s="827">
        <v>1000395597</v>
      </c>
      <c r="K13" s="755" t="s">
        <v>1187</v>
      </c>
      <c r="L13" s="765"/>
      <c r="M13" s="757"/>
      <c r="N13" s="755" t="s">
        <v>1588</v>
      </c>
      <c r="O13" s="825" t="s">
        <v>681</v>
      </c>
      <c r="P13" s="828" t="s">
        <v>1903</v>
      </c>
      <c r="Q13" s="755"/>
      <c r="R13" s="821" t="s">
        <v>164</v>
      </c>
      <c r="S13" s="822" t="s">
        <v>663</v>
      </c>
      <c r="T13" s="755"/>
      <c r="U13" s="760" t="s">
        <v>166</v>
      </c>
      <c r="V13" s="761" t="s">
        <v>210</v>
      </c>
    </row>
    <row r="14" spans="1:22" hidden="1">
      <c r="A14" s="144" t="s">
        <v>1586</v>
      </c>
      <c r="B14" s="171" t="s">
        <v>663</v>
      </c>
      <c r="C14" s="171"/>
      <c r="D14" s="289"/>
      <c r="E14" s="195">
        <v>7</v>
      </c>
      <c r="F14" s="195" t="s">
        <v>1566</v>
      </c>
      <c r="G14" s="195" t="s">
        <v>151</v>
      </c>
      <c r="H14" s="252" t="s">
        <v>2294</v>
      </c>
      <c r="I14" s="252" t="s">
        <v>677</v>
      </c>
      <c r="J14" s="253">
        <v>43458215</v>
      </c>
      <c r="K14" s="195" t="s">
        <v>1191</v>
      </c>
      <c r="L14" s="177"/>
      <c r="M14" s="239"/>
      <c r="N14" s="195" t="s">
        <v>1588</v>
      </c>
      <c r="O14" s="253"/>
      <c r="P14" s="252"/>
      <c r="Q14" s="195"/>
      <c r="R14" s="236"/>
      <c r="S14" s="237" t="s">
        <v>1585</v>
      </c>
      <c r="T14" s="195"/>
      <c r="U14" s="221" t="s">
        <v>160</v>
      </c>
      <c r="V14" s="144" t="s">
        <v>210</v>
      </c>
    </row>
    <row r="15" spans="1:22" hidden="1">
      <c r="A15" s="144" t="s">
        <v>227</v>
      </c>
      <c r="B15" s="171" t="s">
        <v>170</v>
      </c>
      <c r="C15" s="171"/>
      <c r="D15" s="289"/>
      <c r="E15" s="195">
        <v>7</v>
      </c>
      <c r="F15" s="195" t="s">
        <v>1566</v>
      </c>
      <c r="G15" s="195" t="s">
        <v>151</v>
      </c>
      <c r="H15" s="252" t="s">
        <v>2294</v>
      </c>
      <c r="I15" s="252" t="s">
        <v>678</v>
      </c>
      <c r="J15" s="253">
        <v>43454316</v>
      </c>
      <c r="K15" s="195" t="s">
        <v>1191</v>
      </c>
      <c r="L15" s="177"/>
      <c r="M15" s="239"/>
      <c r="N15" s="195" t="s">
        <v>1588</v>
      </c>
      <c r="O15" s="254" t="s">
        <v>679</v>
      </c>
      <c r="P15" s="255" t="s">
        <v>1904</v>
      </c>
      <c r="Q15" s="195"/>
      <c r="R15" s="236" t="s">
        <v>891</v>
      </c>
      <c r="S15" s="237" t="s">
        <v>230</v>
      </c>
      <c r="T15" s="195"/>
      <c r="U15" s="221" t="s">
        <v>160</v>
      </c>
      <c r="V15" s="144" t="s">
        <v>210</v>
      </c>
    </row>
    <row r="16" spans="1:22" hidden="1">
      <c r="A16" s="144" t="s">
        <v>1587</v>
      </c>
      <c r="B16" s="171" t="s">
        <v>193</v>
      </c>
      <c r="C16" s="171"/>
      <c r="D16" s="289"/>
      <c r="E16" s="195">
        <v>7</v>
      </c>
      <c r="F16" s="195" t="s">
        <v>1566</v>
      </c>
      <c r="G16" s="195" t="s">
        <v>151</v>
      </c>
      <c r="H16" s="252" t="s">
        <v>2294</v>
      </c>
      <c r="I16" s="252" t="s">
        <v>682</v>
      </c>
      <c r="J16" s="253">
        <v>43086791</v>
      </c>
      <c r="K16" s="195" t="s">
        <v>1191</v>
      </c>
      <c r="L16" s="177"/>
      <c r="M16" s="239"/>
      <c r="N16" s="195" t="s">
        <v>1588</v>
      </c>
      <c r="O16" s="253"/>
      <c r="P16" s="252" t="s">
        <v>683</v>
      </c>
      <c r="Q16" s="195"/>
      <c r="R16" s="236"/>
      <c r="S16" s="237" t="s">
        <v>1585</v>
      </c>
      <c r="T16" s="195"/>
      <c r="U16" s="221" t="s">
        <v>160</v>
      </c>
      <c r="V16" s="144" t="s">
        <v>210</v>
      </c>
    </row>
    <row r="17" spans="1:22" hidden="1">
      <c r="A17" s="144" t="s">
        <v>1588</v>
      </c>
      <c r="B17" s="171" t="s">
        <v>1881</v>
      </c>
      <c r="C17" s="171"/>
      <c r="D17" s="289"/>
      <c r="E17" s="195">
        <v>7</v>
      </c>
      <c r="F17" s="195" t="s">
        <v>1566</v>
      </c>
      <c r="G17" s="195" t="s">
        <v>151</v>
      </c>
      <c r="H17" s="252" t="s">
        <v>2294</v>
      </c>
      <c r="I17" s="252" t="s">
        <v>684</v>
      </c>
      <c r="J17" s="253">
        <v>43158678</v>
      </c>
      <c r="K17" s="195" t="s">
        <v>1191</v>
      </c>
      <c r="L17" s="177"/>
      <c r="M17" s="239"/>
      <c r="N17" s="195" t="s">
        <v>1588</v>
      </c>
      <c r="O17" s="256">
        <v>3147990739</v>
      </c>
      <c r="P17" s="205" t="s">
        <v>1905</v>
      </c>
      <c r="Q17" s="195"/>
      <c r="R17" s="236"/>
      <c r="S17" s="237" t="s">
        <v>1585</v>
      </c>
      <c r="T17" s="195"/>
      <c r="U17" s="221" t="s">
        <v>160</v>
      </c>
      <c r="V17" s="144" t="s">
        <v>210</v>
      </c>
    </row>
    <row r="18" spans="1:22" hidden="1">
      <c r="B18" s="171" t="s">
        <v>1882</v>
      </c>
      <c r="C18" s="171"/>
      <c r="D18" s="289"/>
      <c r="E18" s="195">
        <v>7</v>
      </c>
      <c r="F18" s="195" t="s">
        <v>1566</v>
      </c>
      <c r="G18" s="195" t="s">
        <v>151</v>
      </c>
      <c r="H18" s="252" t="s">
        <v>2294</v>
      </c>
      <c r="I18" s="252" t="s">
        <v>685</v>
      </c>
      <c r="J18" s="253">
        <v>71759935</v>
      </c>
      <c r="K18" s="195" t="s">
        <v>1187</v>
      </c>
      <c r="L18" s="177"/>
      <c r="M18" s="239"/>
      <c r="N18" s="195" t="s">
        <v>1588</v>
      </c>
      <c r="O18" s="256"/>
      <c r="P18" s="251" t="s">
        <v>686</v>
      </c>
      <c r="Q18" s="195"/>
      <c r="R18" s="236"/>
      <c r="S18" s="237" t="s">
        <v>1585</v>
      </c>
      <c r="T18" s="195"/>
      <c r="U18" s="221" t="s">
        <v>160</v>
      </c>
      <c r="V18" s="144" t="s">
        <v>210</v>
      </c>
    </row>
    <row r="19" spans="1:22">
      <c r="A19" s="144" t="s">
        <v>160</v>
      </c>
      <c r="B19" s="171" t="s">
        <v>405</v>
      </c>
      <c r="C19" s="171"/>
      <c r="D19" s="824" t="s">
        <v>2290</v>
      </c>
      <c r="E19" s="755">
        <v>7</v>
      </c>
      <c r="F19" s="755" t="s">
        <v>1566</v>
      </c>
      <c r="G19" s="755" t="s">
        <v>151</v>
      </c>
      <c r="H19" s="825" t="s">
        <v>687</v>
      </c>
      <c r="I19" s="829" t="s">
        <v>695</v>
      </c>
      <c r="J19" s="825">
        <v>43257302</v>
      </c>
      <c r="K19" s="755" t="s">
        <v>1191</v>
      </c>
      <c r="L19" s="765"/>
      <c r="M19" s="757"/>
      <c r="N19" s="755" t="s">
        <v>1588</v>
      </c>
      <c r="O19" s="827">
        <v>3243372931</v>
      </c>
      <c r="P19" s="826"/>
      <c r="Q19" s="755"/>
      <c r="R19" s="821"/>
      <c r="S19" s="822" t="s">
        <v>1585</v>
      </c>
      <c r="T19" s="755"/>
      <c r="U19" s="760" t="s">
        <v>166</v>
      </c>
      <c r="V19" s="761" t="s">
        <v>210</v>
      </c>
    </row>
    <row r="20" spans="1:22" hidden="1">
      <c r="A20" s="144" t="s">
        <v>166</v>
      </c>
      <c r="B20" s="171" t="s">
        <v>1883</v>
      </c>
      <c r="C20" s="171"/>
      <c r="D20" s="289"/>
      <c r="E20" s="196">
        <v>7</v>
      </c>
      <c r="F20" s="196" t="s">
        <v>1566</v>
      </c>
      <c r="G20" s="196" t="s">
        <v>151</v>
      </c>
      <c r="H20" s="259" t="s">
        <v>687</v>
      </c>
      <c r="I20" s="260" t="s">
        <v>688</v>
      </c>
      <c r="J20" s="259">
        <v>43165101</v>
      </c>
      <c r="K20" s="196" t="s">
        <v>1191</v>
      </c>
      <c r="L20" s="178"/>
      <c r="M20" s="283"/>
      <c r="N20" s="196" t="s">
        <v>1588</v>
      </c>
      <c r="O20" s="261"/>
      <c r="P20" s="262" t="s">
        <v>689</v>
      </c>
      <c r="Q20" s="196"/>
      <c r="R20" s="284"/>
      <c r="S20" s="285" t="s">
        <v>1585</v>
      </c>
      <c r="T20" s="196"/>
      <c r="U20" s="222" t="s">
        <v>160</v>
      </c>
      <c r="V20" s="144" t="s">
        <v>210</v>
      </c>
    </row>
    <row r="21" spans="1:22" hidden="1">
      <c r="B21" s="171" t="s">
        <v>230</v>
      </c>
      <c r="C21" s="171"/>
      <c r="D21" s="289"/>
      <c r="E21" s="196">
        <v>7</v>
      </c>
      <c r="F21" s="196" t="s">
        <v>1566</v>
      </c>
      <c r="G21" s="196" t="s">
        <v>151</v>
      </c>
      <c r="H21" s="259" t="s">
        <v>687</v>
      </c>
      <c r="I21" s="260" t="s">
        <v>690</v>
      </c>
      <c r="J21" s="259">
        <v>42878629</v>
      </c>
      <c r="K21" s="196" t="s">
        <v>1191</v>
      </c>
      <c r="L21" s="178"/>
      <c r="M21" s="283"/>
      <c r="N21" s="196" t="s">
        <v>1588</v>
      </c>
      <c r="O21" s="264">
        <v>3012746324</v>
      </c>
      <c r="P21" s="263" t="s">
        <v>691</v>
      </c>
      <c r="Q21" s="196"/>
      <c r="R21" s="284"/>
      <c r="S21" s="285" t="s">
        <v>1585</v>
      </c>
      <c r="T21" s="196"/>
      <c r="U21" s="222" t="s">
        <v>160</v>
      </c>
      <c r="V21" s="144" t="s">
        <v>210</v>
      </c>
    </row>
    <row r="22" spans="1:22" hidden="1">
      <c r="A22" s="144" t="s">
        <v>1656</v>
      </c>
      <c r="B22" s="171" t="s">
        <v>1884</v>
      </c>
      <c r="C22" s="171"/>
      <c r="D22" s="289"/>
      <c r="E22" s="196">
        <v>7</v>
      </c>
      <c r="F22" s="196" t="s">
        <v>1566</v>
      </c>
      <c r="G22" s="196" t="s">
        <v>151</v>
      </c>
      <c r="H22" s="259" t="s">
        <v>687</v>
      </c>
      <c r="I22" s="260" t="s">
        <v>692</v>
      </c>
      <c r="J22" s="259">
        <v>43553681</v>
      </c>
      <c r="K22" s="196" t="s">
        <v>1191</v>
      </c>
      <c r="L22" s="178"/>
      <c r="M22" s="283"/>
      <c r="N22" s="196" t="s">
        <v>1588</v>
      </c>
      <c r="O22" s="264">
        <v>3122790585</v>
      </c>
      <c r="P22" s="265" t="s">
        <v>1906</v>
      </c>
      <c r="Q22" s="196"/>
      <c r="R22" s="284"/>
      <c r="S22" s="285" t="s">
        <v>1585</v>
      </c>
      <c r="T22" s="196"/>
      <c r="U22" s="222" t="s">
        <v>160</v>
      </c>
      <c r="V22" s="144" t="s">
        <v>210</v>
      </c>
    </row>
    <row r="23" spans="1:22" hidden="1">
      <c r="A23" s="144" t="s">
        <v>1658</v>
      </c>
      <c r="B23" s="171" t="s">
        <v>1885</v>
      </c>
      <c r="C23" s="171"/>
      <c r="D23" s="289"/>
      <c r="E23" s="196">
        <v>7</v>
      </c>
      <c r="F23" s="196" t="s">
        <v>1566</v>
      </c>
      <c r="G23" s="196" t="s">
        <v>151</v>
      </c>
      <c r="H23" s="259" t="s">
        <v>687</v>
      </c>
      <c r="I23" s="260" t="s">
        <v>693</v>
      </c>
      <c r="J23" s="259">
        <v>43838658</v>
      </c>
      <c r="K23" s="196" t="s">
        <v>1191</v>
      </c>
      <c r="L23" s="178"/>
      <c r="M23" s="283"/>
      <c r="N23" s="196" t="s">
        <v>1588</v>
      </c>
      <c r="O23" s="264">
        <v>3147162056</v>
      </c>
      <c r="P23" s="265" t="s">
        <v>1907</v>
      </c>
      <c r="Q23" s="196"/>
      <c r="R23" s="284"/>
      <c r="S23" s="285" t="s">
        <v>1585</v>
      </c>
      <c r="T23" s="196"/>
      <c r="U23" s="222" t="s">
        <v>160</v>
      </c>
      <c r="V23" s="144" t="s">
        <v>210</v>
      </c>
    </row>
    <row r="24" spans="1:22" hidden="1">
      <c r="A24" s="144" t="s">
        <v>1725</v>
      </c>
      <c r="B24" s="171" t="s">
        <v>1886</v>
      </c>
      <c r="C24" s="171"/>
      <c r="D24" s="289"/>
      <c r="E24" s="196">
        <v>7</v>
      </c>
      <c r="F24" s="196" t="s">
        <v>1566</v>
      </c>
      <c r="G24" s="196" t="s">
        <v>151</v>
      </c>
      <c r="H24" s="259" t="s">
        <v>687</v>
      </c>
      <c r="I24" s="260" t="s">
        <v>694</v>
      </c>
      <c r="J24" s="259">
        <v>43546995</v>
      </c>
      <c r="K24" s="196" t="s">
        <v>1191</v>
      </c>
      <c r="L24" s="178"/>
      <c r="M24" s="283"/>
      <c r="N24" s="196" t="s">
        <v>1588</v>
      </c>
      <c r="O24" s="264">
        <v>3043545555</v>
      </c>
      <c r="P24" s="265" t="s">
        <v>1908</v>
      </c>
      <c r="Q24" s="196"/>
      <c r="R24" s="284"/>
      <c r="S24" s="285" t="s">
        <v>1585</v>
      </c>
      <c r="T24" s="196"/>
      <c r="U24" s="222" t="s">
        <v>160</v>
      </c>
      <c r="V24" s="144" t="s">
        <v>210</v>
      </c>
    </row>
    <row r="25" spans="1:22" hidden="1">
      <c r="A25" s="144" t="s">
        <v>1657</v>
      </c>
      <c r="B25" s="171" t="s">
        <v>1887</v>
      </c>
      <c r="C25" s="171"/>
      <c r="D25" s="289"/>
      <c r="E25" s="196">
        <v>7</v>
      </c>
      <c r="F25" s="196" t="s">
        <v>1566</v>
      </c>
      <c r="G25" s="196" t="s">
        <v>151</v>
      </c>
      <c r="H25" s="259" t="s">
        <v>687</v>
      </c>
      <c r="I25" s="260" t="s">
        <v>696</v>
      </c>
      <c r="J25" s="259">
        <v>71629190</v>
      </c>
      <c r="K25" s="196" t="s">
        <v>1187</v>
      </c>
      <c r="L25" s="178"/>
      <c r="M25" s="283"/>
      <c r="N25" s="196" t="s">
        <v>1588</v>
      </c>
      <c r="O25" s="264">
        <v>3195817925</v>
      </c>
      <c r="P25" s="263" t="s">
        <v>697</v>
      </c>
      <c r="Q25" s="196"/>
      <c r="R25" s="284"/>
      <c r="S25" s="285" t="s">
        <v>1585</v>
      </c>
      <c r="T25" s="196"/>
      <c r="U25" s="222" t="s">
        <v>160</v>
      </c>
      <c r="V25" s="144" t="s">
        <v>210</v>
      </c>
    </row>
    <row r="26" spans="1:22" hidden="1">
      <c r="A26" s="144" t="s">
        <v>1659</v>
      </c>
      <c r="B26" s="171" t="s">
        <v>1888</v>
      </c>
      <c r="C26" s="171"/>
      <c r="D26" s="289"/>
      <c r="E26" s="196">
        <v>7</v>
      </c>
      <c r="F26" s="196" t="s">
        <v>1566</v>
      </c>
      <c r="G26" s="196" t="s">
        <v>151</v>
      </c>
      <c r="H26" s="259" t="s">
        <v>687</v>
      </c>
      <c r="I26" s="260" t="s">
        <v>698</v>
      </c>
      <c r="J26" s="259">
        <v>71761598</v>
      </c>
      <c r="K26" s="196" t="s">
        <v>1187</v>
      </c>
      <c r="L26" s="178"/>
      <c r="M26" s="283"/>
      <c r="N26" s="196" t="s">
        <v>1588</v>
      </c>
      <c r="O26" s="264"/>
      <c r="P26" s="263"/>
      <c r="Q26" s="196"/>
      <c r="R26" s="284"/>
      <c r="S26" s="285" t="s">
        <v>1585</v>
      </c>
      <c r="T26" s="196"/>
      <c r="U26" s="222" t="s">
        <v>160</v>
      </c>
      <c r="V26" s="144" t="s">
        <v>210</v>
      </c>
    </row>
    <row r="27" spans="1:22" hidden="1">
      <c r="A27" s="144" t="s">
        <v>1660</v>
      </c>
      <c r="B27" s="171" t="s">
        <v>1889</v>
      </c>
      <c r="C27" s="171"/>
      <c r="D27" s="289"/>
      <c r="E27" s="196">
        <v>7</v>
      </c>
      <c r="F27" s="196" t="s">
        <v>1566</v>
      </c>
      <c r="G27" s="196" t="s">
        <v>151</v>
      </c>
      <c r="H27" s="259" t="s">
        <v>687</v>
      </c>
      <c r="I27" s="258" t="s">
        <v>699</v>
      </c>
      <c r="J27" s="280">
        <v>42878629</v>
      </c>
      <c r="K27" s="196" t="s">
        <v>1191</v>
      </c>
      <c r="L27" s="178"/>
      <c r="M27" s="283"/>
      <c r="N27" s="196" t="s">
        <v>1588</v>
      </c>
      <c r="O27" s="264"/>
      <c r="P27" s="263"/>
      <c r="Q27" s="196"/>
      <c r="R27" s="284"/>
      <c r="S27" s="285" t="s">
        <v>1585</v>
      </c>
      <c r="T27" s="196"/>
      <c r="U27" s="222" t="s">
        <v>160</v>
      </c>
      <c r="V27" s="144" t="s">
        <v>210</v>
      </c>
    </row>
    <row r="28" spans="1:22" hidden="1">
      <c r="A28" s="144" t="s">
        <v>1661</v>
      </c>
      <c r="B28" s="171" t="s">
        <v>1890</v>
      </c>
      <c r="C28" s="171"/>
      <c r="D28" s="289"/>
      <c r="E28" s="196">
        <v>7</v>
      </c>
      <c r="F28" s="196" t="s">
        <v>1566</v>
      </c>
      <c r="G28" s="196" t="s">
        <v>151</v>
      </c>
      <c r="H28" s="259" t="s">
        <v>687</v>
      </c>
      <c r="I28" s="260" t="s">
        <v>700</v>
      </c>
      <c r="J28" s="259">
        <v>43270687</v>
      </c>
      <c r="K28" s="196" t="s">
        <v>1191</v>
      </c>
      <c r="L28" s="178"/>
      <c r="M28" s="283"/>
      <c r="N28" s="196" t="s">
        <v>1588</v>
      </c>
      <c r="O28" s="264"/>
      <c r="P28" s="263"/>
      <c r="Q28" s="196"/>
      <c r="R28" s="284"/>
      <c r="S28" s="285" t="s">
        <v>1585</v>
      </c>
      <c r="T28" s="196"/>
      <c r="U28" s="222" t="s">
        <v>160</v>
      </c>
      <c r="V28" s="144" t="s">
        <v>210</v>
      </c>
    </row>
    <row r="29" spans="1:22">
      <c r="A29" s="144" t="s">
        <v>1662</v>
      </c>
      <c r="B29" s="171" t="s">
        <v>1891</v>
      </c>
      <c r="C29" s="171"/>
      <c r="D29" s="824" t="s">
        <v>2290</v>
      </c>
      <c r="E29" s="755">
        <v>7</v>
      </c>
      <c r="F29" s="755" t="s">
        <v>1566</v>
      </c>
      <c r="G29" s="755" t="s">
        <v>151</v>
      </c>
      <c r="H29" s="826" t="s">
        <v>2295</v>
      </c>
      <c r="I29" s="825" t="s">
        <v>701</v>
      </c>
      <c r="J29" s="825">
        <v>43451927</v>
      </c>
      <c r="K29" s="755" t="s">
        <v>1191</v>
      </c>
      <c r="L29" s="765">
        <v>24136</v>
      </c>
      <c r="M29" s="757">
        <f t="shared" ref="M29:M34" ca="1" si="1">DATEDIF(L29,TODAY(),"Y")</f>
        <v>60</v>
      </c>
      <c r="N29" s="755" t="s">
        <v>1588</v>
      </c>
      <c r="O29" s="827"/>
      <c r="P29" s="830" t="s">
        <v>1909</v>
      </c>
      <c r="Q29" s="755"/>
      <c r="R29" s="821"/>
      <c r="S29" s="822" t="s">
        <v>1585</v>
      </c>
      <c r="T29" s="755"/>
      <c r="U29" s="760" t="s">
        <v>166</v>
      </c>
      <c r="V29" s="761" t="s">
        <v>210</v>
      </c>
    </row>
    <row r="30" spans="1:22" hidden="1">
      <c r="A30" s="144" t="s">
        <v>1663</v>
      </c>
      <c r="B30" s="171" t="s">
        <v>1892</v>
      </c>
      <c r="C30" s="171"/>
      <c r="D30" s="289"/>
      <c r="E30" s="137">
        <v>7</v>
      </c>
      <c r="F30" s="137" t="s">
        <v>1566</v>
      </c>
      <c r="G30" s="137" t="s">
        <v>151</v>
      </c>
      <c r="H30" s="939" t="s">
        <v>2295</v>
      </c>
      <c r="I30" s="269" t="s">
        <v>702</v>
      </c>
      <c r="J30" s="269">
        <v>43054418</v>
      </c>
      <c r="K30" s="137" t="s">
        <v>1191</v>
      </c>
      <c r="L30" s="179">
        <v>23124</v>
      </c>
      <c r="M30" s="286">
        <f t="shared" ca="1" si="1"/>
        <v>63</v>
      </c>
      <c r="N30" s="137" t="s">
        <v>1588</v>
      </c>
      <c r="O30" s="270"/>
      <c r="P30" s="271" t="s">
        <v>1910</v>
      </c>
      <c r="Q30" s="137"/>
      <c r="R30" s="287"/>
      <c r="S30" s="288" t="s">
        <v>1585</v>
      </c>
      <c r="T30" s="137"/>
      <c r="U30" s="223" t="s">
        <v>160</v>
      </c>
      <c r="V30" s="144" t="s">
        <v>210</v>
      </c>
    </row>
    <row r="31" spans="1:22" hidden="1">
      <c r="A31" s="144" t="s">
        <v>1664</v>
      </c>
      <c r="B31" s="171" t="s">
        <v>1893</v>
      </c>
      <c r="C31" s="171"/>
      <c r="D31" s="289"/>
      <c r="E31" s="137">
        <v>7</v>
      </c>
      <c r="F31" s="137" t="s">
        <v>1566</v>
      </c>
      <c r="G31" s="137" t="s">
        <v>151</v>
      </c>
      <c r="H31" s="939" t="s">
        <v>2295</v>
      </c>
      <c r="I31" s="269" t="s">
        <v>703</v>
      </c>
      <c r="J31" s="269">
        <v>39413390</v>
      </c>
      <c r="K31" s="137" t="s">
        <v>1191</v>
      </c>
      <c r="L31" s="179">
        <v>27191</v>
      </c>
      <c r="M31" s="286">
        <f t="shared" ca="1" si="1"/>
        <v>51</v>
      </c>
      <c r="N31" s="137" t="s">
        <v>1588</v>
      </c>
      <c r="O31" s="273">
        <v>3217814423</v>
      </c>
      <c r="P31" s="272"/>
      <c r="Q31" s="137"/>
      <c r="R31" s="287"/>
      <c r="S31" s="288" t="s">
        <v>1585</v>
      </c>
      <c r="T31" s="137"/>
      <c r="U31" s="223" t="s">
        <v>160</v>
      </c>
      <c r="V31" s="144" t="s">
        <v>210</v>
      </c>
    </row>
    <row r="32" spans="1:22" hidden="1">
      <c r="A32" s="144" t="s">
        <v>1665</v>
      </c>
      <c r="B32" s="171" t="s">
        <v>1894</v>
      </c>
      <c r="C32" s="171"/>
      <c r="D32" s="289"/>
      <c r="E32" s="137">
        <v>7</v>
      </c>
      <c r="F32" s="137" t="s">
        <v>1566</v>
      </c>
      <c r="G32" s="137" t="s">
        <v>151</v>
      </c>
      <c r="H32" s="939" t="s">
        <v>2295</v>
      </c>
      <c r="I32" s="269" t="s">
        <v>704</v>
      </c>
      <c r="J32" s="269">
        <v>42993899</v>
      </c>
      <c r="K32" s="137" t="s">
        <v>1191</v>
      </c>
      <c r="L32" s="179">
        <v>21878</v>
      </c>
      <c r="M32" s="286">
        <f t="shared" ca="1" si="1"/>
        <v>66</v>
      </c>
      <c r="N32" s="137" t="s">
        <v>1588</v>
      </c>
      <c r="O32" s="270">
        <v>3108462992</v>
      </c>
      <c r="P32" s="268"/>
      <c r="Q32" s="137"/>
      <c r="R32" s="287"/>
      <c r="S32" s="288" t="s">
        <v>1585</v>
      </c>
      <c r="T32" s="137"/>
      <c r="U32" s="223" t="s">
        <v>160</v>
      </c>
      <c r="V32" s="144" t="s">
        <v>210</v>
      </c>
    </row>
    <row r="33" spans="1:22" hidden="1">
      <c r="A33" s="144" t="s">
        <v>1666</v>
      </c>
      <c r="B33" s="171" t="s">
        <v>1895</v>
      </c>
      <c r="C33" s="171"/>
      <c r="D33" s="289"/>
      <c r="E33" s="137">
        <v>7</v>
      </c>
      <c r="F33" s="137" t="s">
        <v>1566</v>
      </c>
      <c r="G33" s="137" t="s">
        <v>151</v>
      </c>
      <c r="H33" s="939" t="s">
        <v>2295</v>
      </c>
      <c r="I33" s="269" t="s">
        <v>705</v>
      </c>
      <c r="J33" s="269">
        <v>43041045</v>
      </c>
      <c r="K33" s="137" t="s">
        <v>1191</v>
      </c>
      <c r="L33" s="179">
        <v>22737</v>
      </c>
      <c r="M33" s="286">
        <f t="shared" ca="1" si="1"/>
        <v>64</v>
      </c>
      <c r="N33" s="137" t="s">
        <v>1588</v>
      </c>
      <c r="O33" s="270">
        <v>3113059939</v>
      </c>
      <c r="P33" s="268" t="s">
        <v>706</v>
      </c>
      <c r="Q33" s="137"/>
      <c r="R33" s="287"/>
      <c r="S33" s="288" t="s">
        <v>1585</v>
      </c>
      <c r="T33" s="137"/>
      <c r="U33" s="223" t="s">
        <v>160</v>
      </c>
      <c r="V33" s="144" t="s">
        <v>210</v>
      </c>
    </row>
    <row r="34" spans="1:22" hidden="1">
      <c r="A34" s="144" t="s">
        <v>1667</v>
      </c>
      <c r="B34" s="171" t="s">
        <v>1896</v>
      </c>
      <c r="C34" s="171"/>
      <c r="D34" s="289"/>
      <c r="E34" s="137">
        <v>7</v>
      </c>
      <c r="F34" s="137" t="s">
        <v>1566</v>
      </c>
      <c r="G34" s="137" t="s">
        <v>151</v>
      </c>
      <c r="H34" s="939" t="s">
        <v>2295</v>
      </c>
      <c r="I34" s="269" t="s">
        <v>707</v>
      </c>
      <c r="J34" s="269">
        <v>43288853</v>
      </c>
      <c r="K34" s="137" t="s">
        <v>1191</v>
      </c>
      <c r="L34" s="179">
        <v>29639</v>
      </c>
      <c r="M34" s="286">
        <f t="shared" ca="1" si="1"/>
        <v>45</v>
      </c>
      <c r="N34" s="137" t="s">
        <v>1588</v>
      </c>
      <c r="O34" s="270">
        <v>3206514897</v>
      </c>
      <c r="P34" s="271" t="s">
        <v>1911</v>
      </c>
      <c r="Q34" s="137"/>
      <c r="R34" s="287"/>
      <c r="S34" s="288" t="s">
        <v>1585</v>
      </c>
      <c r="T34" s="137"/>
      <c r="U34" s="223" t="s">
        <v>160</v>
      </c>
      <c r="V34" s="144" t="s">
        <v>210</v>
      </c>
    </row>
    <row r="35" spans="1:22">
      <c r="A35" s="144" t="s">
        <v>1668</v>
      </c>
      <c r="B35" s="199" t="s">
        <v>1899</v>
      </c>
      <c r="C35" s="199"/>
      <c r="D35" s="824"/>
      <c r="E35" s="755">
        <v>7</v>
      </c>
      <c r="F35" s="755" t="s">
        <v>1566</v>
      </c>
      <c r="G35" s="755" t="s">
        <v>151</v>
      </c>
      <c r="H35" s="939" t="s">
        <v>708</v>
      </c>
      <c r="I35" s="831" t="s">
        <v>709</v>
      </c>
      <c r="J35" s="832"/>
      <c r="K35" s="755" t="s">
        <v>1191</v>
      </c>
      <c r="L35" s="765"/>
      <c r="M35" s="757"/>
      <c r="N35" s="755" t="s">
        <v>1588</v>
      </c>
      <c r="O35" s="832">
        <v>3138924317</v>
      </c>
      <c r="P35" s="831" t="s">
        <v>710</v>
      </c>
      <c r="Q35" s="755" t="s">
        <v>1665</v>
      </c>
      <c r="R35" s="821"/>
      <c r="S35" s="822" t="s">
        <v>1585</v>
      </c>
      <c r="T35" s="755"/>
      <c r="U35" s="760" t="s">
        <v>166</v>
      </c>
      <c r="V35" s="761" t="s">
        <v>210</v>
      </c>
    </row>
    <row r="36" spans="1:22" hidden="1">
      <c r="A36" s="144" t="s">
        <v>1669</v>
      </c>
      <c r="B36" s="199" t="s">
        <v>1900</v>
      </c>
      <c r="C36" s="199"/>
      <c r="D36" s="289"/>
      <c r="E36" s="200">
        <v>7</v>
      </c>
      <c r="F36" s="200" t="s">
        <v>1566</v>
      </c>
      <c r="G36" s="200" t="s">
        <v>151</v>
      </c>
      <c r="H36" s="248" t="s">
        <v>708</v>
      </c>
      <c r="I36" s="248" t="s">
        <v>711</v>
      </c>
      <c r="J36" s="247"/>
      <c r="K36" s="200" t="s">
        <v>1191</v>
      </c>
      <c r="L36" s="191"/>
      <c r="M36" s="238"/>
      <c r="N36" s="200" t="s">
        <v>1588</v>
      </c>
      <c r="O36" s="247">
        <v>3126678184</v>
      </c>
      <c r="P36" s="248" t="s">
        <v>712</v>
      </c>
      <c r="Q36" s="200" t="s">
        <v>1665</v>
      </c>
      <c r="R36" s="234"/>
      <c r="S36" s="235" t="s">
        <v>1585</v>
      </c>
      <c r="T36" s="200"/>
      <c r="U36" s="224" t="s">
        <v>160</v>
      </c>
      <c r="V36" s="144" t="s">
        <v>210</v>
      </c>
    </row>
    <row r="37" spans="1:22" hidden="1">
      <c r="A37" s="144" t="s">
        <v>1566</v>
      </c>
      <c r="B37" s="139" t="s">
        <v>1898</v>
      </c>
      <c r="C37" s="139"/>
      <c r="D37" s="289"/>
      <c r="E37" s="200">
        <v>7</v>
      </c>
      <c r="F37" s="200" t="s">
        <v>1566</v>
      </c>
      <c r="G37" s="200" t="s">
        <v>151</v>
      </c>
      <c r="H37" s="248" t="s">
        <v>708</v>
      </c>
      <c r="I37" s="248" t="s">
        <v>713</v>
      </c>
      <c r="J37" s="247"/>
      <c r="K37" s="200" t="s">
        <v>1187</v>
      </c>
      <c r="L37" s="191"/>
      <c r="M37" s="238"/>
      <c r="N37" s="200" t="s">
        <v>1588</v>
      </c>
      <c r="O37" s="274">
        <v>3004159218</v>
      </c>
      <c r="P37" s="275" t="s">
        <v>714</v>
      </c>
      <c r="Q37" s="200" t="s">
        <v>1665</v>
      </c>
      <c r="R37" s="234"/>
      <c r="S37" s="235" t="s">
        <v>1585</v>
      </c>
      <c r="T37" s="200"/>
      <c r="U37" s="224" t="s">
        <v>160</v>
      </c>
      <c r="V37" s="144" t="s">
        <v>210</v>
      </c>
    </row>
    <row r="38" spans="1:22" hidden="1">
      <c r="A38" s="144" t="s">
        <v>1726</v>
      </c>
      <c r="B38" s="144" t="s">
        <v>218</v>
      </c>
      <c r="D38" s="289"/>
      <c r="E38" s="200">
        <v>7</v>
      </c>
      <c r="F38" s="200" t="s">
        <v>1566</v>
      </c>
      <c r="G38" s="200" t="s">
        <v>151</v>
      </c>
      <c r="H38" s="248" t="s">
        <v>708</v>
      </c>
      <c r="I38" s="248" t="s">
        <v>715</v>
      </c>
      <c r="J38" s="247"/>
      <c r="K38" s="200" t="s">
        <v>1191</v>
      </c>
      <c r="L38" s="191"/>
      <c r="M38" s="238"/>
      <c r="N38" s="200" t="s">
        <v>1588</v>
      </c>
      <c r="O38" s="247">
        <v>3225240772</v>
      </c>
      <c r="P38" s="276" t="s">
        <v>1912</v>
      </c>
      <c r="Q38" s="200" t="s">
        <v>1665</v>
      </c>
      <c r="R38" s="234"/>
      <c r="S38" s="235" t="s">
        <v>1585</v>
      </c>
      <c r="T38" s="200"/>
      <c r="U38" s="224" t="s">
        <v>160</v>
      </c>
      <c r="V38" s="144" t="s">
        <v>210</v>
      </c>
    </row>
    <row r="39" spans="1:22">
      <c r="A39" s="144" t="s">
        <v>1670</v>
      </c>
      <c r="B39" s="144" t="s">
        <v>1585</v>
      </c>
      <c r="D39" s="824" t="s">
        <v>2290</v>
      </c>
      <c r="E39" s="755">
        <v>7</v>
      </c>
      <c r="F39" s="755" t="s">
        <v>1566</v>
      </c>
      <c r="G39" s="755" t="s">
        <v>151</v>
      </c>
      <c r="H39" s="833" t="s">
        <v>2292</v>
      </c>
      <c r="I39" s="833" t="s">
        <v>716</v>
      </c>
      <c r="J39" s="825">
        <v>43596547</v>
      </c>
      <c r="K39" s="755" t="s">
        <v>1191</v>
      </c>
      <c r="L39" s="765">
        <v>27568</v>
      </c>
      <c r="M39" s="757">
        <f t="shared" ref="M39:M44" ca="1" si="2">DATEDIF(L39,TODAY(),"Y")</f>
        <v>50</v>
      </c>
      <c r="N39" s="755" t="s">
        <v>1588</v>
      </c>
      <c r="O39" s="827">
        <v>3043493116</v>
      </c>
      <c r="P39" s="830" t="s">
        <v>1913</v>
      </c>
      <c r="Q39" s="755"/>
      <c r="R39" s="821"/>
      <c r="S39" s="822" t="s">
        <v>1585</v>
      </c>
      <c r="T39" s="755"/>
      <c r="U39" s="760" t="s">
        <v>166</v>
      </c>
      <c r="V39" s="761" t="s">
        <v>210</v>
      </c>
    </row>
    <row r="40" spans="1:22" hidden="1">
      <c r="A40" s="144" t="s">
        <v>1671</v>
      </c>
      <c r="D40" s="289"/>
      <c r="E40" s="195">
        <v>7</v>
      </c>
      <c r="F40" s="195" t="s">
        <v>1566</v>
      </c>
      <c r="G40" s="195" t="s">
        <v>151</v>
      </c>
      <c r="H40" s="277" t="s">
        <v>2292</v>
      </c>
      <c r="I40" s="254" t="s">
        <v>717</v>
      </c>
      <c r="J40" s="254">
        <v>1025882950</v>
      </c>
      <c r="K40" s="195" t="s">
        <v>1187</v>
      </c>
      <c r="L40" s="177">
        <v>38289</v>
      </c>
      <c r="M40" s="239">
        <f t="shared" ca="1" si="2"/>
        <v>21</v>
      </c>
      <c r="N40" s="195" t="s">
        <v>1588</v>
      </c>
      <c r="O40" s="253"/>
      <c r="P40" s="205" t="s">
        <v>1914</v>
      </c>
      <c r="Q40" s="195"/>
      <c r="R40" s="236"/>
      <c r="S40" s="237" t="s">
        <v>1585</v>
      </c>
      <c r="T40" s="195"/>
      <c r="U40" s="221" t="s">
        <v>160</v>
      </c>
      <c r="V40" s="144" t="s">
        <v>210</v>
      </c>
    </row>
    <row r="41" spans="1:22" hidden="1">
      <c r="A41" s="144" t="s">
        <v>1672</v>
      </c>
      <c r="D41" s="289"/>
      <c r="E41" s="195">
        <v>7</v>
      </c>
      <c r="F41" s="195" t="s">
        <v>1566</v>
      </c>
      <c r="G41" s="195" t="s">
        <v>151</v>
      </c>
      <c r="H41" s="277" t="s">
        <v>2292</v>
      </c>
      <c r="I41" s="254" t="s">
        <v>718</v>
      </c>
      <c r="J41" s="254">
        <v>1017233881</v>
      </c>
      <c r="K41" s="195" t="s">
        <v>1191</v>
      </c>
      <c r="L41" s="177">
        <v>34909</v>
      </c>
      <c r="M41" s="239">
        <f t="shared" ca="1" si="2"/>
        <v>30</v>
      </c>
      <c r="N41" s="195" t="s">
        <v>1588</v>
      </c>
      <c r="O41" s="253">
        <v>3106645728</v>
      </c>
      <c r="P41" s="252"/>
      <c r="Q41" s="195"/>
      <c r="R41" s="236"/>
      <c r="S41" s="237" t="s">
        <v>1585</v>
      </c>
      <c r="T41" s="195"/>
      <c r="U41" s="221" t="s">
        <v>160</v>
      </c>
      <c r="V41" s="144" t="s">
        <v>210</v>
      </c>
    </row>
    <row r="42" spans="1:22" hidden="1">
      <c r="A42" s="144" t="s">
        <v>1673</v>
      </c>
      <c r="D42" s="289"/>
      <c r="E42" s="195">
        <v>7</v>
      </c>
      <c r="F42" s="195" t="s">
        <v>1566</v>
      </c>
      <c r="G42" s="195" t="s">
        <v>151</v>
      </c>
      <c r="H42" s="277" t="s">
        <v>2292</v>
      </c>
      <c r="I42" s="254" t="s">
        <v>719</v>
      </c>
      <c r="J42" s="254">
        <v>1216720500</v>
      </c>
      <c r="K42" s="195" t="s">
        <v>1191</v>
      </c>
      <c r="L42" s="177">
        <v>35183</v>
      </c>
      <c r="M42" s="239">
        <f t="shared" ca="1" si="2"/>
        <v>30</v>
      </c>
      <c r="N42" s="195" t="s">
        <v>1588</v>
      </c>
      <c r="O42" s="253">
        <v>3054806890</v>
      </c>
      <c r="P42" s="205" t="s">
        <v>1915</v>
      </c>
      <c r="Q42" s="195"/>
      <c r="R42" s="236"/>
      <c r="S42" s="237" t="s">
        <v>1585</v>
      </c>
      <c r="T42" s="195"/>
      <c r="U42" s="221" t="s">
        <v>160</v>
      </c>
      <c r="V42" s="144" t="s">
        <v>210</v>
      </c>
    </row>
    <row r="43" spans="1:22" hidden="1">
      <c r="A43" s="144" t="s">
        <v>1674</v>
      </c>
      <c r="D43" s="289"/>
      <c r="E43" s="195">
        <v>7</v>
      </c>
      <c r="F43" s="195" t="s">
        <v>1566</v>
      </c>
      <c r="G43" s="195" t="s">
        <v>151</v>
      </c>
      <c r="H43" s="277" t="s">
        <v>2292</v>
      </c>
      <c r="I43" s="254" t="s">
        <v>720</v>
      </c>
      <c r="J43" s="254">
        <v>98669201</v>
      </c>
      <c r="K43" s="195" t="s">
        <v>1187</v>
      </c>
      <c r="L43" s="177">
        <v>29042</v>
      </c>
      <c r="M43" s="239">
        <f t="shared" ca="1" si="2"/>
        <v>46</v>
      </c>
      <c r="N43" s="195" t="s">
        <v>1588</v>
      </c>
      <c r="O43" s="253"/>
      <c r="P43" s="252"/>
      <c r="Q43" s="195"/>
      <c r="R43" s="236"/>
      <c r="S43" s="237" t="s">
        <v>1585</v>
      </c>
      <c r="T43" s="195"/>
      <c r="U43" s="221" t="s">
        <v>160</v>
      </c>
      <c r="V43" s="144" t="s">
        <v>210</v>
      </c>
    </row>
    <row r="44" spans="1:22" hidden="1">
      <c r="A44" s="144" t="s">
        <v>1675</v>
      </c>
      <c r="D44" s="289"/>
      <c r="E44" s="195">
        <v>7</v>
      </c>
      <c r="F44" s="195" t="s">
        <v>1566</v>
      </c>
      <c r="G44" s="195" t="s">
        <v>151</v>
      </c>
      <c r="H44" s="277" t="s">
        <v>2292</v>
      </c>
      <c r="I44" s="254" t="s">
        <v>721</v>
      </c>
      <c r="J44" s="254">
        <v>1077632437</v>
      </c>
      <c r="K44" s="195" t="s">
        <v>1191</v>
      </c>
      <c r="L44" s="177">
        <v>31300</v>
      </c>
      <c r="M44" s="239">
        <f t="shared" ca="1" si="2"/>
        <v>40</v>
      </c>
      <c r="N44" s="195" t="s">
        <v>1588</v>
      </c>
      <c r="O44" s="253"/>
      <c r="P44" s="252"/>
      <c r="Q44" s="195"/>
      <c r="R44" s="236"/>
      <c r="S44" s="237" t="s">
        <v>1585</v>
      </c>
      <c r="T44" s="195"/>
      <c r="U44" s="221" t="s">
        <v>160</v>
      </c>
      <c r="V44" s="144" t="s">
        <v>210</v>
      </c>
    </row>
    <row r="45" spans="1:22">
      <c r="A45" s="144" t="s">
        <v>1723</v>
      </c>
      <c r="D45" s="824" t="s">
        <v>2289</v>
      </c>
      <c r="E45" s="755">
        <v>7</v>
      </c>
      <c r="F45" s="755" t="s">
        <v>1566</v>
      </c>
      <c r="G45" s="755" t="s">
        <v>129</v>
      </c>
      <c r="H45" s="834" t="s">
        <v>2293</v>
      </c>
      <c r="I45" s="826" t="s">
        <v>725</v>
      </c>
      <c r="J45" s="827">
        <v>71671173</v>
      </c>
      <c r="K45" s="755" t="s">
        <v>1187</v>
      </c>
      <c r="L45" s="765"/>
      <c r="M45" s="757"/>
      <c r="N45" s="755" t="s">
        <v>1588</v>
      </c>
      <c r="O45" s="827">
        <v>3113250200</v>
      </c>
      <c r="P45" s="830" t="s">
        <v>1916</v>
      </c>
      <c r="Q45" s="755"/>
      <c r="R45" s="821"/>
      <c r="S45" s="822" t="s">
        <v>1585</v>
      </c>
      <c r="T45" s="755"/>
      <c r="U45" s="760" t="s">
        <v>166</v>
      </c>
      <c r="V45" s="761" t="s">
        <v>210</v>
      </c>
    </row>
    <row r="46" spans="1:22" hidden="1">
      <c r="A46" s="144" t="s">
        <v>1724</v>
      </c>
      <c r="D46" s="289"/>
      <c r="E46" s="196">
        <v>7</v>
      </c>
      <c r="F46" s="196" t="s">
        <v>1566</v>
      </c>
      <c r="G46" s="196" t="s">
        <v>129</v>
      </c>
      <c r="H46" s="258" t="s">
        <v>2293</v>
      </c>
      <c r="I46" s="263" t="s">
        <v>722</v>
      </c>
      <c r="J46" s="264">
        <v>43066062</v>
      </c>
      <c r="K46" s="196" t="s">
        <v>1191</v>
      </c>
      <c r="L46" s="178"/>
      <c r="M46" s="283"/>
      <c r="N46" s="196" t="s">
        <v>1588</v>
      </c>
      <c r="O46" s="264"/>
      <c r="P46" s="263"/>
      <c r="Q46" s="196"/>
      <c r="R46" s="284"/>
      <c r="S46" s="285" t="s">
        <v>1585</v>
      </c>
      <c r="T46" s="196"/>
      <c r="U46" s="222" t="s">
        <v>160</v>
      </c>
      <c r="V46" s="144" t="s">
        <v>210</v>
      </c>
    </row>
    <row r="47" spans="1:22" hidden="1">
      <c r="D47" s="289"/>
      <c r="E47" s="196">
        <v>7</v>
      </c>
      <c r="F47" s="196" t="s">
        <v>1566</v>
      </c>
      <c r="G47" s="196" t="s">
        <v>129</v>
      </c>
      <c r="H47" s="258" t="s">
        <v>2293</v>
      </c>
      <c r="I47" s="263" t="s">
        <v>723</v>
      </c>
      <c r="J47" s="264">
        <v>1128421909</v>
      </c>
      <c r="K47" s="196" t="s">
        <v>1191</v>
      </c>
      <c r="L47" s="178"/>
      <c r="M47" s="283"/>
      <c r="N47" s="196" t="s">
        <v>1588</v>
      </c>
      <c r="O47" s="264"/>
      <c r="P47" s="263"/>
      <c r="Q47" s="196"/>
      <c r="R47" s="284"/>
      <c r="S47" s="285" t="s">
        <v>1585</v>
      </c>
      <c r="T47" s="196"/>
      <c r="U47" s="222" t="s">
        <v>160</v>
      </c>
      <c r="V47" s="144" t="s">
        <v>210</v>
      </c>
    </row>
    <row r="48" spans="1:22" hidden="1">
      <c r="D48" s="289"/>
      <c r="E48" s="196">
        <v>7</v>
      </c>
      <c r="F48" s="196" t="s">
        <v>1566</v>
      </c>
      <c r="G48" s="196" t="s">
        <v>129</v>
      </c>
      <c r="H48" s="258" t="s">
        <v>2293</v>
      </c>
      <c r="I48" s="264" t="s">
        <v>724</v>
      </c>
      <c r="J48" s="264">
        <v>71751723</v>
      </c>
      <c r="K48" s="196" t="s">
        <v>1187</v>
      </c>
      <c r="L48" s="178"/>
      <c r="M48" s="283"/>
      <c r="N48" s="196" t="s">
        <v>1588</v>
      </c>
      <c r="O48" s="264">
        <v>3113301694</v>
      </c>
      <c r="P48" s="263"/>
      <c r="Q48" s="196"/>
      <c r="R48" s="284"/>
      <c r="S48" s="285" t="s">
        <v>1585</v>
      </c>
      <c r="T48" s="196"/>
      <c r="U48" s="222" t="s">
        <v>160</v>
      </c>
      <c r="V48" s="144" t="s">
        <v>210</v>
      </c>
    </row>
    <row r="49" spans="4:22" hidden="1">
      <c r="D49" s="289"/>
      <c r="E49" s="196">
        <v>7</v>
      </c>
      <c r="F49" s="196" t="s">
        <v>1566</v>
      </c>
      <c r="G49" s="196" t="s">
        <v>129</v>
      </c>
      <c r="H49" s="258" t="s">
        <v>2293</v>
      </c>
      <c r="I49" s="258" t="s">
        <v>726</v>
      </c>
      <c r="J49" s="280">
        <v>71530250</v>
      </c>
      <c r="K49" s="196" t="s">
        <v>1191</v>
      </c>
      <c r="L49" s="178"/>
      <c r="M49" s="283"/>
      <c r="N49" s="196" t="s">
        <v>1588</v>
      </c>
      <c r="O49" s="264"/>
      <c r="P49" s="263"/>
      <c r="Q49" s="196"/>
      <c r="R49" s="284"/>
      <c r="S49" s="285" t="s">
        <v>1585</v>
      </c>
      <c r="T49" s="196"/>
      <c r="U49" s="222" t="s">
        <v>160</v>
      </c>
      <c r="V49" s="144" t="s">
        <v>210</v>
      </c>
    </row>
    <row r="50" spans="4:22" hidden="1">
      <c r="D50" s="289"/>
      <c r="E50" s="196">
        <v>7</v>
      </c>
      <c r="F50" s="196" t="s">
        <v>1566</v>
      </c>
      <c r="G50" s="196" t="s">
        <v>129</v>
      </c>
      <c r="H50" s="258" t="s">
        <v>2293</v>
      </c>
      <c r="I50" s="258" t="s">
        <v>727</v>
      </c>
      <c r="J50" s="280">
        <v>1040368872</v>
      </c>
      <c r="K50" s="196" t="s">
        <v>1191</v>
      </c>
      <c r="L50" s="178"/>
      <c r="M50" s="283"/>
      <c r="N50" s="196" t="s">
        <v>1588</v>
      </c>
      <c r="O50" s="264"/>
      <c r="P50" s="263"/>
      <c r="Q50" s="196"/>
      <c r="R50" s="284"/>
      <c r="S50" s="285" t="s">
        <v>1585</v>
      </c>
      <c r="T50" s="196"/>
      <c r="U50" s="222" t="s">
        <v>160</v>
      </c>
      <c r="V50" s="144" t="s">
        <v>210</v>
      </c>
    </row>
    <row r="51" spans="4:22">
      <c r="D51" s="824" t="s">
        <v>2290</v>
      </c>
      <c r="E51" s="755">
        <v>7</v>
      </c>
      <c r="F51" s="755" t="s">
        <v>1566</v>
      </c>
      <c r="G51" s="755" t="s">
        <v>151</v>
      </c>
      <c r="H51" s="826" t="s">
        <v>2296</v>
      </c>
      <c r="I51" s="826" t="s">
        <v>728</v>
      </c>
      <c r="J51" s="827">
        <v>43112339</v>
      </c>
      <c r="K51" s="755" t="s">
        <v>1191</v>
      </c>
      <c r="L51" s="765"/>
      <c r="M51" s="757"/>
      <c r="N51" s="755" t="s">
        <v>1588</v>
      </c>
      <c r="O51" s="827"/>
      <c r="P51" s="826"/>
      <c r="Q51" s="755"/>
      <c r="R51" s="821"/>
      <c r="S51" s="822" t="s">
        <v>1585</v>
      </c>
      <c r="T51" s="755"/>
      <c r="U51" s="760" t="s">
        <v>166</v>
      </c>
      <c r="V51" s="761" t="s">
        <v>210</v>
      </c>
    </row>
    <row r="52" spans="4:22" hidden="1">
      <c r="D52" s="289"/>
      <c r="E52" s="137">
        <v>7</v>
      </c>
      <c r="F52" s="137" t="s">
        <v>1566</v>
      </c>
      <c r="G52" s="137" t="s">
        <v>151</v>
      </c>
      <c r="H52" s="266" t="s">
        <v>2296</v>
      </c>
      <c r="I52" s="268" t="s">
        <v>729</v>
      </c>
      <c r="J52" s="270">
        <v>44000844</v>
      </c>
      <c r="K52" s="137" t="s">
        <v>1191</v>
      </c>
      <c r="L52" s="179"/>
      <c r="M52" s="286"/>
      <c r="N52" s="137" t="s">
        <v>1588</v>
      </c>
      <c r="O52" s="270"/>
      <c r="P52" s="268"/>
      <c r="Q52" s="137"/>
      <c r="R52" s="287"/>
      <c r="S52" s="288" t="s">
        <v>1585</v>
      </c>
      <c r="T52" s="137"/>
      <c r="U52" s="223" t="s">
        <v>160</v>
      </c>
      <c r="V52" s="144" t="s">
        <v>210</v>
      </c>
    </row>
    <row r="53" spans="4:22" hidden="1">
      <c r="D53" s="289"/>
      <c r="E53" s="137">
        <v>7</v>
      </c>
      <c r="F53" s="137" t="s">
        <v>1566</v>
      </c>
      <c r="G53" s="137" t="s">
        <v>151</v>
      </c>
      <c r="H53" s="266" t="s">
        <v>2296</v>
      </c>
      <c r="I53" s="268" t="s">
        <v>730</v>
      </c>
      <c r="J53" s="270">
        <v>43049648</v>
      </c>
      <c r="K53" s="137" t="s">
        <v>1191</v>
      </c>
      <c r="L53" s="179"/>
      <c r="M53" s="286"/>
      <c r="N53" s="137" t="s">
        <v>1588</v>
      </c>
      <c r="O53" s="270"/>
      <c r="P53" s="268"/>
      <c r="Q53" s="137"/>
      <c r="R53" s="287"/>
      <c r="S53" s="288" t="s">
        <v>1585</v>
      </c>
      <c r="T53" s="137"/>
      <c r="U53" s="223" t="s">
        <v>160</v>
      </c>
      <c r="V53" s="144" t="s">
        <v>210</v>
      </c>
    </row>
    <row r="54" spans="4:22" hidden="1">
      <c r="D54" s="289"/>
      <c r="E54" s="137">
        <v>7</v>
      </c>
      <c r="F54" s="137" t="s">
        <v>1566</v>
      </c>
      <c r="G54" s="137" t="s">
        <v>151</v>
      </c>
      <c r="H54" s="266" t="s">
        <v>2296</v>
      </c>
      <c r="I54" s="268" t="s">
        <v>731</v>
      </c>
      <c r="J54" s="270">
        <v>1036667728</v>
      </c>
      <c r="K54" s="137" t="s">
        <v>1191</v>
      </c>
      <c r="L54" s="179"/>
      <c r="M54" s="286"/>
      <c r="N54" s="137" t="s">
        <v>1588</v>
      </c>
      <c r="O54" s="270"/>
      <c r="P54" s="268"/>
      <c r="Q54" s="137"/>
      <c r="R54" s="287"/>
      <c r="S54" s="288" t="s">
        <v>1585</v>
      </c>
      <c r="T54" s="137"/>
      <c r="U54" s="223" t="s">
        <v>160</v>
      </c>
      <c r="V54" s="144" t="s">
        <v>210</v>
      </c>
    </row>
    <row r="55" spans="4:22" hidden="1">
      <c r="D55" s="289"/>
      <c r="E55" s="137">
        <v>7</v>
      </c>
      <c r="F55" s="137" t="s">
        <v>1566</v>
      </c>
      <c r="G55" s="137" t="s">
        <v>151</v>
      </c>
      <c r="H55" s="266" t="s">
        <v>2296</v>
      </c>
      <c r="I55" s="268" t="s">
        <v>732</v>
      </c>
      <c r="J55" s="270">
        <v>43158694</v>
      </c>
      <c r="K55" s="137" t="s">
        <v>1191</v>
      </c>
      <c r="L55" s="179"/>
      <c r="M55" s="286"/>
      <c r="N55" s="137" t="s">
        <v>1588</v>
      </c>
      <c r="O55" s="270"/>
      <c r="P55" s="268"/>
      <c r="Q55" s="137"/>
      <c r="R55" s="287"/>
      <c r="S55" s="288" t="s">
        <v>1585</v>
      </c>
      <c r="T55" s="137"/>
      <c r="U55" s="223" t="s">
        <v>160</v>
      </c>
      <c r="V55" s="144" t="s">
        <v>210</v>
      </c>
    </row>
    <row r="56" spans="4:22" hidden="1">
      <c r="D56" s="289"/>
      <c r="E56" s="137">
        <v>7</v>
      </c>
      <c r="F56" s="137" t="s">
        <v>1566</v>
      </c>
      <c r="G56" s="137" t="s">
        <v>151</v>
      </c>
      <c r="H56" s="266" t="s">
        <v>2296</v>
      </c>
      <c r="I56" s="268" t="s">
        <v>733</v>
      </c>
      <c r="J56" s="270">
        <v>70690624</v>
      </c>
      <c r="K56" s="137" t="s">
        <v>1187</v>
      </c>
      <c r="L56" s="179"/>
      <c r="M56" s="286"/>
      <c r="N56" s="137" t="s">
        <v>1588</v>
      </c>
      <c r="O56" s="270"/>
      <c r="P56" s="268"/>
      <c r="Q56" s="137"/>
      <c r="R56" s="287"/>
      <c r="S56" s="288" t="s">
        <v>1585</v>
      </c>
      <c r="T56" s="137"/>
      <c r="U56" s="223" t="s">
        <v>160</v>
      </c>
      <c r="V56" s="144" t="s">
        <v>210</v>
      </c>
    </row>
    <row r="57" spans="4:22">
      <c r="D57" s="824" t="s">
        <v>2290</v>
      </c>
      <c r="E57" s="755">
        <v>7</v>
      </c>
      <c r="F57" s="755" t="s">
        <v>1566</v>
      </c>
      <c r="G57" s="755" t="s">
        <v>151</v>
      </c>
      <c r="H57" s="826" t="s">
        <v>2297</v>
      </c>
      <c r="I57" s="826" t="s">
        <v>1554</v>
      </c>
      <c r="J57" s="827">
        <v>71792953</v>
      </c>
      <c r="K57" s="755" t="s">
        <v>1187</v>
      </c>
      <c r="L57" s="765"/>
      <c r="M57" s="757"/>
      <c r="N57" s="755" t="s">
        <v>1588</v>
      </c>
      <c r="O57" s="827"/>
      <c r="P57" s="826"/>
      <c r="Q57" s="755"/>
      <c r="R57" s="821"/>
      <c r="S57" s="822" t="s">
        <v>1585</v>
      </c>
      <c r="T57" s="755"/>
      <c r="U57" s="760" t="s">
        <v>166</v>
      </c>
      <c r="V57" s="761" t="s">
        <v>210</v>
      </c>
    </row>
    <row r="58" spans="4:22" hidden="1">
      <c r="D58" s="289"/>
      <c r="E58" s="200">
        <v>7</v>
      </c>
      <c r="F58" s="200" t="s">
        <v>1566</v>
      </c>
      <c r="G58" s="200" t="s">
        <v>151</v>
      </c>
      <c r="H58" s="278" t="s">
        <v>2297</v>
      </c>
      <c r="I58" s="248" t="str">
        <f>PROPER("ALEXANDER MARULANDA BEDOYA")</f>
        <v>Alexander Marulanda Bedoya</v>
      </c>
      <c r="J58" s="247">
        <v>71765586</v>
      </c>
      <c r="K58" s="200" t="s">
        <v>1187</v>
      </c>
      <c r="L58" s="191"/>
      <c r="M58" s="238"/>
      <c r="N58" s="200" t="s">
        <v>1588</v>
      </c>
      <c r="O58" s="247"/>
      <c r="P58" s="248"/>
      <c r="Q58" s="200"/>
      <c r="R58" s="234"/>
      <c r="S58" s="235" t="s">
        <v>1585</v>
      </c>
      <c r="T58" s="200"/>
      <c r="U58" s="224" t="s">
        <v>160</v>
      </c>
      <c r="V58" s="144" t="s">
        <v>210</v>
      </c>
    </row>
    <row r="59" spans="4:22" hidden="1">
      <c r="D59" s="289"/>
      <c r="E59" s="200">
        <v>7</v>
      </c>
      <c r="F59" s="200" t="s">
        <v>1566</v>
      </c>
      <c r="G59" s="200" t="s">
        <v>151</v>
      </c>
      <c r="H59" s="278" t="s">
        <v>2297</v>
      </c>
      <c r="I59" s="248" t="str">
        <f>PROPER("MONICA GUARIN RAMIREZ")</f>
        <v>Monica Guarin Ramirez</v>
      </c>
      <c r="J59" s="247">
        <v>66779516</v>
      </c>
      <c r="K59" s="200" t="s">
        <v>1191</v>
      </c>
      <c r="L59" s="191"/>
      <c r="M59" s="238"/>
      <c r="N59" s="200" t="s">
        <v>1588</v>
      </c>
      <c r="O59" s="247"/>
      <c r="P59" s="248"/>
      <c r="Q59" s="200"/>
      <c r="R59" s="234"/>
      <c r="S59" s="235" t="s">
        <v>1585</v>
      </c>
      <c r="T59" s="200"/>
      <c r="U59" s="224" t="s">
        <v>160</v>
      </c>
      <c r="V59" s="144" t="s">
        <v>210</v>
      </c>
    </row>
    <row r="60" spans="4:22" hidden="1">
      <c r="D60" s="289"/>
      <c r="E60" s="200">
        <v>7</v>
      </c>
      <c r="F60" s="200" t="s">
        <v>1566</v>
      </c>
      <c r="G60" s="200" t="s">
        <v>151</v>
      </c>
      <c r="H60" s="278" t="s">
        <v>2297</v>
      </c>
      <c r="I60" s="248" t="str">
        <f>PROPER("NICOLÁS CORTÉS CUESTA")</f>
        <v>Nicolás Cortés Cuesta</v>
      </c>
      <c r="J60" s="247">
        <v>1054856086</v>
      </c>
      <c r="K60" s="200" t="s">
        <v>1187</v>
      </c>
      <c r="L60" s="191"/>
      <c r="M60" s="238"/>
      <c r="N60" s="200" t="s">
        <v>1588</v>
      </c>
      <c r="O60" s="247"/>
      <c r="P60" s="248"/>
      <c r="Q60" s="200"/>
      <c r="R60" s="234"/>
      <c r="S60" s="235" t="s">
        <v>1585</v>
      </c>
      <c r="T60" s="200"/>
      <c r="U60" s="224" t="s">
        <v>160</v>
      </c>
      <c r="V60" s="144" t="s">
        <v>210</v>
      </c>
    </row>
    <row r="61" spans="4:22" hidden="1">
      <c r="D61" s="289"/>
      <c r="E61" s="200">
        <v>7</v>
      </c>
      <c r="F61" s="200" t="s">
        <v>1566</v>
      </c>
      <c r="G61" s="200" t="s">
        <v>151</v>
      </c>
      <c r="H61" s="278" t="s">
        <v>2297</v>
      </c>
      <c r="I61" s="248" t="str">
        <f>PROPER("SANDRA EUGENIA ARBOLEDA MURILLO")</f>
        <v>Sandra Eugenia Arboleda Murillo</v>
      </c>
      <c r="J61" s="247">
        <v>43522740</v>
      </c>
      <c r="K61" s="200" t="s">
        <v>1191</v>
      </c>
      <c r="L61" s="191"/>
      <c r="M61" s="238"/>
      <c r="N61" s="200" t="s">
        <v>1588</v>
      </c>
      <c r="O61" s="247"/>
      <c r="P61" s="248"/>
      <c r="Q61" s="200"/>
      <c r="R61" s="234"/>
      <c r="S61" s="235" t="s">
        <v>1585</v>
      </c>
      <c r="T61" s="200"/>
      <c r="U61" s="224" t="s">
        <v>160</v>
      </c>
      <c r="V61" s="144" t="s">
        <v>210</v>
      </c>
    </row>
    <row r="62" spans="4:22" hidden="1">
      <c r="D62" s="289"/>
      <c r="E62" s="200">
        <v>7</v>
      </c>
      <c r="F62" s="200" t="s">
        <v>1566</v>
      </c>
      <c r="G62" s="200" t="s">
        <v>151</v>
      </c>
      <c r="H62" s="278" t="s">
        <v>2297</v>
      </c>
      <c r="I62" s="248" t="str">
        <f>PROPER("CLEIBER MEDINA")</f>
        <v>Cleiber Medina</v>
      </c>
      <c r="J62" s="247">
        <v>98559193</v>
      </c>
      <c r="K62" s="200" t="s">
        <v>1187</v>
      </c>
      <c r="L62" s="191"/>
      <c r="M62" s="238"/>
      <c r="N62" s="200" t="s">
        <v>1588</v>
      </c>
      <c r="O62" s="247"/>
      <c r="P62" s="248"/>
      <c r="Q62" s="200"/>
      <c r="R62" s="234"/>
      <c r="S62" s="235" t="s">
        <v>1585</v>
      </c>
      <c r="T62" s="200"/>
      <c r="U62" s="224" t="s">
        <v>160</v>
      </c>
      <c r="V62" s="144" t="s">
        <v>210</v>
      </c>
    </row>
    <row r="63" spans="4:22" hidden="1">
      <c r="D63" s="289"/>
      <c r="E63" s="195">
        <v>7</v>
      </c>
      <c r="F63" s="195" t="s">
        <v>1566</v>
      </c>
      <c r="G63" s="195" t="s">
        <v>151</v>
      </c>
      <c r="H63" s="939" t="s">
        <v>2298</v>
      </c>
      <c r="I63" s="252" t="s">
        <v>734</v>
      </c>
      <c r="J63" s="253">
        <v>32520956</v>
      </c>
      <c r="K63" s="195" t="s">
        <v>1191</v>
      </c>
      <c r="L63" s="177"/>
      <c r="M63" s="239"/>
      <c r="N63" s="195" t="s">
        <v>1588</v>
      </c>
      <c r="O63" s="253"/>
      <c r="P63" s="252"/>
      <c r="Q63" s="195"/>
      <c r="R63" s="236"/>
      <c r="S63" s="237" t="s">
        <v>1585</v>
      </c>
      <c r="T63" s="195"/>
      <c r="U63" s="221" t="s">
        <v>160</v>
      </c>
      <c r="V63" s="144" t="s">
        <v>210</v>
      </c>
    </row>
    <row r="64" spans="4:22" hidden="1">
      <c r="D64" s="289"/>
      <c r="E64" s="195">
        <v>7</v>
      </c>
      <c r="F64" s="195" t="s">
        <v>1566</v>
      </c>
      <c r="G64" s="195" t="s">
        <v>151</v>
      </c>
      <c r="H64" s="252" t="s">
        <v>2298</v>
      </c>
      <c r="I64" s="252" t="s">
        <v>735</v>
      </c>
      <c r="J64" s="253">
        <v>43113357</v>
      </c>
      <c r="K64" s="195" t="s">
        <v>1191</v>
      </c>
      <c r="L64" s="177"/>
      <c r="M64" s="239"/>
      <c r="N64" s="195" t="s">
        <v>1588</v>
      </c>
      <c r="O64" s="253"/>
      <c r="P64" s="252"/>
      <c r="Q64" s="195"/>
      <c r="R64" s="236"/>
      <c r="S64" s="237" t="s">
        <v>1585</v>
      </c>
      <c r="T64" s="195"/>
      <c r="U64" s="221" t="s">
        <v>160</v>
      </c>
      <c r="V64" s="144" t="s">
        <v>210</v>
      </c>
    </row>
    <row r="65" spans="4:22" hidden="1">
      <c r="D65" s="289"/>
      <c r="E65" s="195">
        <v>7</v>
      </c>
      <c r="F65" s="195" t="s">
        <v>1566</v>
      </c>
      <c r="G65" s="195" t="s">
        <v>151</v>
      </c>
      <c r="H65" s="252" t="s">
        <v>2298</v>
      </c>
      <c r="I65" s="252" t="s">
        <v>736</v>
      </c>
      <c r="J65" s="253">
        <v>43652427</v>
      </c>
      <c r="K65" s="195" t="s">
        <v>1191</v>
      </c>
      <c r="L65" s="177"/>
      <c r="M65" s="239"/>
      <c r="N65" s="195" t="s">
        <v>1588</v>
      </c>
      <c r="O65" s="253"/>
      <c r="P65" s="252"/>
      <c r="Q65" s="195"/>
      <c r="R65" s="236"/>
      <c r="S65" s="237" t="s">
        <v>1585</v>
      </c>
      <c r="T65" s="195"/>
      <c r="U65" s="221" t="s">
        <v>160</v>
      </c>
      <c r="V65" s="144" t="s">
        <v>210</v>
      </c>
    </row>
    <row r="66" spans="4:22" hidden="1">
      <c r="D66" s="289"/>
      <c r="E66" s="195">
        <v>7</v>
      </c>
      <c r="F66" s="195" t="s">
        <v>1566</v>
      </c>
      <c r="G66" s="195" t="s">
        <v>151</v>
      </c>
      <c r="H66" s="252" t="s">
        <v>2298</v>
      </c>
      <c r="I66" s="252" t="s">
        <v>737</v>
      </c>
      <c r="J66" s="253">
        <v>10063242</v>
      </c>
      <c r="K66" s="195" t="s">
        <v>1187</v>
      </c>
      <c r="L66" s="177"/>
      <c r="M66" s="239"/>
      <c r="N66" s="195" t="s">
        <v>1588</v>
      </c>
      <c r="O66" s="253"/>
      <c r="P66" s="252"/>
      <c r="Q66" s="195"/>
      <c r="R66" s="236"/>
      <c r="S66" s="237" t="s">
        <v>1585</v>
      </c>
      <c r="T66" s="195"/>
      <c r="U66" s="221" t="s">
        <v>160</v>
      </c>
      <c r="V66" s="144" t="s">
        <v>210</v>
      </c>
    </row>
    <row r="67" spans="4:22" hidden="1">
      <c r="D67" s="289"/>
      <c r="E67" s="195">
        <v>7</v>
      </c>
      <c r="F67" s="195" t="s">
        <v>1566</v>
      </c>
      <c r="G67" s="195" t="s">
        <v>151</v>
      </c>
      <c r="H67" s="252" t="s">
        <v>2298</v>
      </c>
      <c r="I67" s="252" t="s">
        <v>738</v>
      </c>
      <c r="J67" s="253">
        <v>32535458</v>
      </c>
      <c r="K67" s="195" t="s">
        <v>1191</v>
      </c>
      <c r="L67" s="177"/>
      <c r="M67" s="239"/>
      <c r="N67" s="195" t="s">
        <v>1588</v>
      </c>
      <c r="O67" s="253"/>
      <c r="P67" s="252"/>
      <c r="Q67" s="195"/>
      <c r="R67" s="236"/>
      <c r="S67" s="237" t="s">
        <v>1585</v>
      </c>
      <c r="T67" s="195"/>
      <c r="U67" s="221" t="s">
        <v>160</v>
      </c>
      <c r="V67" s="144" t="s">
        <v>210</v>
      </c>
    </row>
    <row r="68" spans="4:22" hidden="1">
      <c r="D68" s="289"/>
      <c r="E68" s="195">
        <v>7</v>
      </c>
      <c r="F68" s="195" t="s">
        <v>1566</v>
      </c>
      <c r="G68" s="195" t="s">
        <v>151</v>
      </c>
      <c r="H68" s="252" t="s">
        <v>2298</v>
      </c>
      <c r="I68" s="252" t="s">
        <v>739</v>
      </c>
      <c r="J68" s="253">
        <v>21610982</v>
      </c>
      <c r="K68" s="195" t="s">
        <v>1191</v>
      </c>
      <c r="L68" s="177"/>
      <c r="M68" s="239"/>
      <c r="N68" s="195" t="s">
        <v>1588</v>
      </c>
      <c r="O68" s="253"/>
      <c r="P68" s="252"/>
      <c r="Q68" s="195"/>
      <c r="R68" s="236"/>
      <c r="S68" s="237" t="s">
        <v>1585</v>
      </c>
      <c r="T68" s="195"/>
      <c r="U68" s="221" t="s">
        <v>160</v>
      </c>
      <c r="V68" s="144" t="s">
        <v>210</v>
      </c>
    </row>
    <row r="69" spans="4:22">
      <c r="D69" s="824" t="s">
        <v>2290</v>
      </c>
      <c r="E69" s="755">
        <v>7</v>
      </c>
      <c r="F69" s="755" t="s">
        <v>1566</v>
      </c>
      <c r="G69" s="755" t="s">
        <v>151</v>
      </c>
      <c r="H69" s="826" t="s">
        <v>2299</v>
      </c>
      <c r="I69" s="826" t="s">
        <v>715</v>
      </c>
      <c r="J69" s="827">
        <v>43266483</v>
      </c>
      <c r="K69" s="755" t="s">
        <v>1191</v>
      </c>
      <c r="L69" s="765"/>
      <c r="M69" s="757"/>
      <c r="N69" s="755" t="s">
        <v>1588</v>
      </c>
      <c r="O69" s="827"/>
      <c r="P69" s="826"/>
      <c r="Q69" s="755"/>
      <c r="R69" s="821"/>
      <c r="S69" s="822" t="s">
        <v>1585</v>
      </c>
      <c r="T69" s="755"/>
      <c r="U69" s="760" t="s">
        <v>166</v>
      </c>
      <c r="V69" s="761" t="s">
        <v>210</v>
      </c>
    </row>
    <row r="70" spans="4:22" hidden="1">
      <c r="D70" s="289"/>
      <c r="E70" s="196">
        <v>7</v>
      </c>
      <c r="F70" s="196" t="s">
        <v>1566</v>
      </c>
      <c r="G70" s="196" t="s">
        <v>151</v>
      </c>
      <c r="H70" s="257" t="s">
        <v>2299</v>
      </c>
      <c r="I70" s="263" t="s">
        <v>740</v>
      </c>
      <c r="J70" s="264">
        <v>70121278</v>
      </c>
      <c r="K70" s="196" t="s">
        <v>1187</v>
      </c>
      <c r="L70" s="178"/>
      <c r="M70" s="283"/>
      <c r="N70" s="196" t="s">
        <v>1588</v>
      </c>
      <c r="O70" s="264"/>
      <c r="P70" s="263"/>
      <c r="Q70" s="196"/>
      <c r="R70" s="284"/>
      <c r="S70" s="285" t="s">
        <v>1585</v>
      </c>
      <c r="T70" s="196"/>
      <c r="U70" s="222" t="s">
        <v>160</v>
      </c>
      <c r="V70" s="144" t="s">
        <v>210</v>
      </c>
    </row>
    <row r="71" spans="4:22" hidden="1">
      <c r="D71" s="289"/>
      <c r="E71" s="196">
        <v>7</v>
      </c>
      <c r="F71" s="196" t="s">
        <v>1566</v>
      </c>
      <c r="G71" s="196" t="s">
        <v>151</v>
      </c>
      <c r="H71" s="257" t="s">
        <v>2299</v>
      </c>
      <c r="I71" s="263" t="s">
        <v>741</v>
      </c>
      <c r="J71" s="264">
        <v>71586990</v>
      </c>
      <c r="K71" s="196" t="s">
        <v>1187</v>
      </c>
      <c r="L71" s="178"/>
      <c r="M71" s="283"/>
      <c r="N71" s="196" t="s">
        <v>1588</v>
      </c>
      <c r="O71" s="264"/>
      <c r="P71" s="263"/>
      <c r="Q71" s="196"/>
      <c r="R71" s="284"/>
      <c r="S71" s="285" t="s">
        <v>1585</v>
      </c>
      <c r="T71" s="196"/>
      <c r="U71" s="222" t="s">
        <v>160</v>
      </c>
      <c r="V71" s="144" t="s">
        <v>210</v>
      </c>
    </row>
    <row r="72" spans="4:22" hidden="1">
      <c r="D72" s="289"/>
      <c r="E72" s="196">
        <v>7</v>
      </c>
      <c r="F72" s="196" t="s">
        <v>1566</v>
      </c>
      <c r="G72" s="196" t="s">
        <v>151</v>
      </c>
      <c r="H72" s="257" t="s">
        <v>2299</v>
      </c>
      <c r="I72" s="263" t="s">
        <v>742</v>
      </c>
      <c r="J72" s="264">
        <v>32505660</v>
      </c>
      <c r="K72" s="196" t="s">
        <v>1191</v>
      </c>
      <c r="L72" s="178"/>
      <c r="M72" s="283"/>
      <c r="N72" s="196" t="s">
        <v>1588</v>
      </c>
      <c r="O72" s="264"/>
      <c r="P72" s="263"/>
      <c r="Q72" s="196"/>
      <c r="R72" s="284"/>
      <c r="S72" s="285" t="s">
        <v>1585</v>
      </c>
      <c r="T72" s="196"/>
      <c r="U72" s="222" t="s">
        <v>160</v>
      </c>
      <c r="V72" s="144" t="s">
        <v>210</v>
      </c>
    </row>
    <row r="73" spans="4:22" hidden="1">
      <c r="D73" s="289"/>
      <c r="E73" s="196">
        <v>7</v>
      </c>
      <c r="F73" s="196" t="s">
        <v>1566</v>
      </c>
      <c r="G73" s="196" t="s">
        <v>151</v>
      </c>
      <c r="H73" s="257" t="s">
        <v>2299</v>
      </c>
      <c r="I73" s="263" t="s">
        <v>743</v>
      </c>
      <c r="J73" s="264">
        <v>21863077</v>
      </c>
      <c r="K73" s="196" t="s">
        <v>1191</v>
      </c>
      <c r="L73" s="178"/>
      <c r="M73" s="283"/>
      <c r="N73" s="196" t="s">
        <v>1588</v>
      </c>
      <c r="O73" s="264"/>
      <c r="P73" s="263"/>
      <c r="Q73" s="196"/>
      <c r="R73" s="284"/>
      <c r="S73" s="285" t="s">
        <v>1585</v>
      </c>
      <c r="T73" s="196"/>
      <c r="U73" s="222" t="s">
        <v>160</v>
      </c>
      <c r="V73" s="144" t="s">
        <v>210</v>
      </c>
    </row>
    <row r="74" spans="4:22" hidden="1">
      <c r="D74" s="289"/>
      <c r="E74" s="196">
        <v>7</v>
      </c>
      <c r="F74" s="196" t="s">
        <v>1566</v>
      </c>
      <c r="G74" s="196" t="s">
        <v>151</v>
      </c>
      <c r="H74" s="257" t="s">
        <v>2299</v>
      </c>
      <c r="I74" s="263" t="s">
        <v>744</v>
      </c>
      <c r="J74" s="264">
        <v>1214721160</v>
      </c>
      <c r="K74" s="196" t="s">
        <v>1187</v>
      </c>
      <c r="L74" s="178"/>
      <c r="M74" s="283"/>
      <c r="N74" s="196" t="s">
        <v>1588</v>
      </c>
      <c r="O74" s="264"/>
      <c r="P74" s="263"/>
      <c r="Q74" s="196"/>
      <c r="R74" s="284"/>
      <c r="S74" s="285" t="s">
        <v>1585</v>
      </c>
      <c r="T74" s="196"/>
      <c r="U74" s="222" t="s">
        <v>160</v>
      </c>
      <c r="V74" s="144" t="s">
        <v>210</v>
      </c>
    </row>
    <row r="75" spans="4:22">
      <c r="D75" s="761" t="s">
        <v>2290</v>
      </c>
      <c r="E75" s="755">
        <v>7</v>
      </c>
      <c r="F75" s="755" t="s">
        <v>1566</v>
      </c>
      <c r="G75" s="755" t="s">
        <v>151</v>
      </c>
      <c r="H75" s="826" t="s">
        <v>2300</v>
      </c>
      <c r="I75" s="826" t="s">
        <v>748</v>
      </c>
      <c r="J75" s="827">
        <v>43562625</v>
      </c>
      <c r="K75" s="755" t="s">
        <v>1191</v>
      </c>
      <c r="L75" s="765"/>
      <c r="M75" s="757"/>
      <c r="N75" s="755" t="s">
        <v>1588</v>
      </c>
      <c r="O75" s="827"/>
      <c r="P75" s="826"/>
      <c r="Q75" s="755"/>
      <c r="R75" s="821"/>
      <c r="S75" s="822" t="s">
        <v>1585</v>
      </c>
      <c r="T75" s="755"/>
      <c r="U75" s="760" t="s">
        <v>166</v>
      </c>
      <c r="V75" s="761" t="s">
        <v>210</v>
      </c>
    </row>
    <row r="76" spans="4:22" hidden="1">
      <c r="E76" s="137">
        <v>7</v>
      </c>
      <c r="F76" s="137" t="s">
        <v>1566</v>
      </c>
      <c r="G76" s="137" t="s">
        <v>151</v>
      </c>
      <c r="H76" s="266" t="s">
        <v>2300</v>
      </c>
      <c r="I76" s="268" t="s">
        <v>745</v>
      </c>
      <c r="J76" s="270">
        <v>43814532</v>
      </c>
      <c r="K76" s="137" t="s">
        <v>1191</v>
      </c>
      <c r="L76" s="179"/>
      <c r="M76" s="286"/>
      <c r="N76" s="137" t="s">
        <v>1588</v>
      </c>
      <c r="O76" s="270"/>
      <c r="P76" s="268"/>
      <c r="Q76" s="137"/>
      <c r="R76" s="287"/>
      <c r="S76" s="288" t="s">
        <v>1585</v>
      </c>
      <c r="T76" s="137"/>
      <c r="U76" s="223" t="s">
        <v>160</v>
      </c>
      <c r="V76" s="144" t="s">
        <v>210</v>
      </c>
    </row>
    <row r="77" spans="4:22" hidden="1">
      <c r="E77" s="137">
        <v>7</v>
      </c>
      <c r="F77" s="137" t="s">
        <v>1566</v>
      </c>
      <c r="G77" s="137" t="s">
        <v>151</v>
      </c>
      <c r="H77" s="266" t="s">
        <v>2300</v>
      </c>
      <c r="I77" s="268" t="s">
        <v>746</v>
      </c>
      <c r="J77" s="270">
        <v>71708818</v>
      </c>
      <c r="K77" s="137" t="s">
        <v>1187</v>
      </c>
      <c r="L77" s="179"/>
      <c r="M77" s="286"/>
      <c r="N77" s="137" t="s">
        <v>1588</v>
      </c>
      <c r="O77" s="270"/>
      <c r="P77" s="268"/>
      <c r="Q77" s="137"/>
      <c r="R77" s="287"/>
      <c r="S77" s="288" t="s">
        <v>1585</v>
      </c>
      <c r="T77" s="137"/>
      <c r="U77" s="223" t="s">
        <v>160</v>
      </c>
      <c r="V77" s="144" t="s">
        <v>210</v>
      </c>
    </row>
    <row r="78" spans="4:22" hidden="1">
      <c r="E78" s="137">
        <v>7</v>
      </c>
      <c r="F78" s="137" t="s">
        <v>1566</v>
      </c>
      <c r="G78" s="137" t="s">
        <v>151</v>
      </c>
      <c r="H78" s="266" t="s">
        <v>2300</v>
      </c>
      <c r="I78" s="268" t="s">
        <v>747</v>
      </c>
      <c r="J78" s="270">
        <v>71596001</v>
      </c>
      <c r="K78" s="137" t="s">
        <v>1187</v>
      </c>
      <c r="L78" s="179"/>
      <c r="M78" s="286"/>
      <c r="N78" s="137" t="s">
        <v>1588</v>
      </c>
      <c r="O78" s="270"/>
      <c r="P78" s="268"/>
      <c r="Q78" s="137"/>
      <c r="R78" s="287"/>
      <c r="S78" s="288" t="s">
        <v>1585</v>
      </c>
      <c r="T78" s="137"/>
      <c r="U78" s="223" t="s">
        <v>160</v>
      </c>
      <c r="V78" s="144" t="s">
        <v>210</v>
      </c>
    </row>
    <row r="79" spans="4:22" hidden="1">
      <c r="E79" s="137">
        <v>7</v>
      </c>
      <c r="F79" s="137" t="s">
        <v>1566</v>
      </c>
      <c r="G79" s="137" t="s">
        <v>151</v>
      </c>
      <c r="H79" s="266" t="s">
        <v>2300</v>
      </c>
      <c r="I79" s="268" t="s">
        <v>749</v>
      </c>
      <c r="J79" s="270">
        <v>32143177</v>
      </c>
      <c r="K79" s="137" t="s">
        <v>1191</v>
      </c>
      <c r="L79" s="179"/>
      <c r="M79" s="286"/>
      <c r="N79" s="137" t="s">
        <v>1588</v>
      </c>
      <c r="O79" s="270"/>
      <c r="P79" s="268"/>
      <c r="Q79" s="137"/>
      <c r="R79" s="287"/>
      <c r="S79" s="288" t="s">
        <v>1585</v>
      </c>
      <c r="T79" s="137"/>
      <c r="U79" s="223" t="s">
        <v>160</v>
      </c>
      <c r="V79" s="144" t="s">
        <v>210</v>
      </c>
    </row>
    <row r="80" spans="4:22" hidden="1">
      <c r="E80" s="137">
        <v>7</v>
      </c>
      <c r="F80" s="137" t="s">
        <v>1566</v>
      </c>
      <c r="G80" s="137" t="s">
        <v>151</v>
      </c>
      <c r="H80" s="266" t="s">
        <v>2300</v>
      </c>
      <c r="I80" s="270" t="s">
        <v>750</v>
      </c>
      <c r="J80" s="270">
        <v>43008470</v>
      </c>
      <c r="K80" s="137" t="s">
        <v>1191</v>
      </c>
      <c r="L80" s="179"/>
      <c r="M80" s="286"/>
      <c r="N80" s="137" t="s">
        <v>1588</v>
      </c>
      <c r="O80" s="270"/>
      <c r="P80" s="268"/>
      <c r="Q80" s="137"/>
      <c r="R80" s="287"/>
      <c r="S80" s="288" t="s">
        <v>1585</v>
      </c>
      <c r="T80" s="137"/>
      <c r="U80" s="223" t="s">
        <v>160</v>
      </c>
      <c r="V80" s="144" t="s">
        <v>210</v>
      </c>
    </row>
    <row r="81" spans="4:22" hidden="1">
      <c r="E81" s="200">
        <v>7</v>
      </c>
      <c r="F81" s="200" t="s">
        <v>1566</v>
      </c>
      <c r="G81" s="200" t="s">
        <v>151</v>
      </c>
      <c r="H81" s="939" t="s">
        <v>2301</v>
      </c>
      <c r="I81" s="279" t="s">
        <v>751</v>
      </c>
      <c r="J81" s="279"/>
      <c r="K81" s="200" t="s">
        <v>1187</v>
      </c>
      <c r="L81" s="191"/>
      <c r="M81" s="238"/>
      <c r="N81" s="200" t="s">
        <v>1588</v>
      </c>
      <c r="O81" s="247"/>
      <c r="P81" s="248"/>
      <c r="Q81" s="200"/>
      <c r="R81" s="234"/>
      <c r="S81" s="235" t="s">
        <v>1585</v>
      </c>
      <c r="T81" s="200"/>
      <c r="U81" s="224" t="s">
        <v>160</v>
      </c>
      <c r="V81" s="144" t="s">
        <v>210</v>
      </c>
    </row>
    <row r="82" spans="4:22" hidden="1">
      <c r="E82" s="200">
        <v>7</v>
      </c>
      <c r="F82" s="200" t="s">
        <v>1566</v>
      </c>
      <c r="G82" s="200" t="s">
        <v>151</v>
      </c>
      <c r="H82" s="248" t="s">
        <v>2301</v>
      </c>
      <c r="I82" s="247" t="s">
        <v>752</v>
      </c>
      <c r="J82" s="247"/>
      <c r="K82" s="200" t="s">
        <v>1191</v>
      </c>
      <c r="L82" s="191"/>
      <c r="M82" s="238"/>
      <c r="N82" s="200" t="s">
        <v>1588</v>
      </c>
      <c r="O82" s="247"/>
      <c r="P82" s="248"/>
      <c r="Q82" s="200"/>
      <c r="R82" s="234"/>
      <c r="S82" s="235" t="s">
        <v>1585</v>
      </c>
      <c r="T82" s="200"/>
      <c r="U82" s="224" t="s">
        <v>160</v>
      </c>
      <c r="V82" s="144" t="s">
        <v>210</v>
      </c>
    </row>
    <row r="83" spans="4:22" hidden="1">
      <c r="E83" s="200">
        <v>7</v>
      </c>
      <c r="F83" s="200" t="s">
        <v>1566</v>
      </c>
      <c r="G83" s="200" t="s">
        <v>151</v>
      </c>
      <c r="H83" s="248" t="s">
        <v>2301</v>
      </c>
      <c r="I83" s="247" t="s">
        <v>753</v>
      </c>
      <c r="J83" s="247"/>
      <c r="K83" s="200" t="s">
        <v>1191</v>
      </c>
      <c r="L83" s="191"/>
      <c r="M83" s="238"/>
      <c r="N83" s="200" t="s">
        <v>1588</v>
      </c>
      <c r="O83" s="247"/>
      <c r="P83" s="248"/>
      <c r="Q83" s="200"/>
      <c r="R83" s="234"/>
      <c r="S83" s="235" t="s">
        <v>1585</v>
      </c>
      <c r="T83" s="200"/>
      <c r="U83" s="224" t="s">
        <v>160</v>
      </c>
      <c r="V83" s="144" t="s">
        <v>210</v>
      </c>
    </row>
    <row r="84" spans="4:22" hidden="1">
      <c r="E84" s="200">
        <v>7</v>
      </c>
      <c r="F84" s="200" t="s">
        <v>1566</v>
      </c>
      <c r="G84" s="200" t="s">
        <v>151</v>
      </c>
      <c r="H84" s="248" t="s">
        <v>2301</v>
      </c>
      <c r="I84" s="247" t="s">
        <v>754</v>
      </c>
      <c r="J84" s="247"/>
      <c r="K84" s="200" t="s">
        <v>1187</v>
      </c>
      <c r="L84" s="191"/>
      <c r="M84" s="238"/>
      <c r="N84" s="200" t="s">
        <v>1588</v>
      </c>
      <c r="O84" s="247"/>
      <c r="P84" s="248"/>
      <c r="Q84" s="200"/>
      <c r="R84" s="234"/>
      <c r="S84" s="235" t="s">
        <v>1585</v>
      </c>
      <c r="T84" s="200"/>
      <c r="U84" s="224" t="s">
        <v>160</v>
      </c>
      <c r="V84" s="144" t="s">
        <v>210</v>
      </c>
    </row>
    <row r="85" spans="4:22" hidden="1">
      <c r="E85" s="200">
        <v>7</v>
      </c>
      <c r="F85" s="200" t="s">
        <v>1566</v>
      </c>
      <c r="G85" s="200" t="s">
        <v>151</v>
      </c>
      <c r="H85" s="248" t="s">
        <v>2301</v>
      </c>
      <c r="I85" s="247" t="s">
        <v>755</v>
      </c>
      <c r="J85" s="247"/>
      <c r="K85" s="200" t="s">
        <v>1191</v>
      </c>
      <c r="L85" s="191"/>
      <c r="M85" s="238"/>
      <c r="N85" s="200" t="s">
        <v>1588</v>
      </c>
      <c r="O85" s="247"/>
      <c r="P85" s="248"/>
      <c r="Q85" s="200"/>
      <c r="R85" s="234"/>
      <c r="S85" s="235" t="s">
        <v>1585</v>
      </c>
      <c r="T85" s="200"/>
      <c r="U85" s="224" t="s">
        <v>160</v>
      </c>
      <c r="V85" s="144" t="s">
        <v>210</v>
      </c>
    </row>
    <row r="86" spans="4:22" hidden="1">
      <c r="E86" s="200">
        <v>7</v>
      </c>
      <c r="F86" s="200" t="s">
        <v>1566</v>
      </c>
      <c r="G86" s="200" t="s">
        <v>151</v>
      </c>
      <c r="H86" s="248" t="s">
        <v>2301</v>
      </c>
      <c r="I86" s="247" t="s">
        <v>756</v>
      </c>
      <c r="J86" s="247"/>
      <c r="K86" s="200" t="s">
        <v>1191</v>
      </c>
      <c r="L86" s="191"/>
      <c r="M86" s="238"/>
      <c r="N86" s="200" t="s">
        <v>1588</v>
      </c>
      <c r="O86" s="247"/>
      <c r="P86" s="248"/>
      <c r="Q86" s="200"/>
      <c r="R86" s="234"/>
      <c r="S86" s="235" t="s">
        <v>1585</v>
      </c>
      <c r="T86" s="200"/>
      <c r="U86" s="224" t="s">
        <v>160</v>
      </c>
      <c r="V86" s="144" t="s">
        <v>210</v>
      </c>
    </row>
    <row r="87" spans="4:22">
      <c r="D87" s="761" t="s">
        <v>2290</v>
      </c>
      <c r="E87" s="755">
        <v>7</v>
      </c>
      <c r="F87" s="755" t="s">
        <v>1566</v>
      </c>
      <c r="G87" s="755" t="s">
        <v>151</v>
      </c>
      <c r="H87" s="826" t="s">
        <v>2302</v>
      </c>
      <c r="I87" s="826" t="s">
        <v>762</v>
      </c>
      <c r="J87" s="827">
        <v>42991952</v>
      </c>
      <c r="K87" s="755" t="s">
        <v>1191</v>
      </c>
      <c r="L87" s="765"/>
      <c r="M87" s="757"/>
      <c r="N87" s="755" t="s">
        <v>1588</v>
      </c>
      <c r="O87" s="827"/>
      <c r="P87" s="826"/>
      <c r="Q87" s="755"/>
      <c r="R87" s="821"/>
      <c r="S87" s="822" t="s">
        <v>1585</v>
      </c>
      <c r="T87" s="755"/>
      <c r="U87" s="760" t="s">
        <v>166</v>
      </c>
      <c r="V87" s="761" t="s">
        <v>210</v>
      </c>
    </row>
    <row r="88" spans="4:22" hidden="1">
      <c r="E88" s="195">
        <v>7</v>
      </c>
      <c r="F88" s="195" t="s">
        <v>1566</v>
      </c>
      <c r="G88" s="195" t="s">
        <v>151</v>
      </c>
      <c r="H88" s="250" t="s">
        <v>2302</v>
      </c>
      <c r="I88" s="252" t="s">
        <v>757</v>
      </c>
      <c r="J88" s="253">
        <v>43505752</v>
      </c>
      <c r="K88" s="195" t="s">
        <v>1191</v>
      </c>
      <c r="L88" s="177"/>
      <c r="M88" s="239"/>
      <c r="N88" s="195" t="s">
        <v>1588</v>
      </c>
      <c r="O88" s="253"/>
      <c r="P88" s="252"/>
      <c r="Q88" s="195"/>
      <c r="R88" s="236"/>
      <c r="S88" s="237" t="s">
        <v>1585</v>
      </c>
      <c r="T88" s="195"/>
      <c r="U88" s="221" t="s">
        <v>160</v>
      </c>
      <c r="V88" s="144" t="s">
        <v>210</v>
      </c>
    </row>
    <row r="89" spans="4:22" hidden="1">
      <c r="E89" s="195">
        <v>7</v>
      </c>
      <c r="F89" s="195" t="s">
        <v>1566</v>
      </c>
      <c r="G89" s="195" t="s">
        <v>151</v>
      </c>
      <c r="H89" s="250" t="s">
        <v>2302</v>
      </c>
      <c r="I89" s="252" t="s">
        <v>758</v>
      </c>
      <c r="J89" s="253">
        <v>43547244</v>
      </c>
      <c r="K89" s="195" t="s">
        <v>1191</v>
      </c>
      <c r="L89" s="177"/>
      <c r="M89" s="239"/>
      <c r="N89" s="195" t="s">
        <v>1588</v>
      </c>
      <c r="O89" s="253"/>
      <c r="P89" s="252"/>
      <c r="Q89" s="195"/>
      <c r="R89" s="236"/>
      <c r="S89" s="237" t="s">
        <v>1585</v>
      </c>
      <c r="T89" s="195"/>
      <c r="U89" s="221" t="s">
        <v>160</v>
      </c>
      <c r="V89" s="144" t="s">
        <v>210</v>
      </c>
    </row>
    <row r="90" spans="4:22" hidden="1">
      <c r="E90" s="195">
        <v>7</v>
      </c>
      <c r="F90" s="195" t="s">
        <v>1566</v>
      </c>
      <c r="G90" s="195" t="s">
        <v>151</v>
      </c>
      <c r="H90" s="250" t="s">
        <v>2302</v>
      </c>
      <c r="I90" s="252" t="s">
        <v>759</v>
      </c>
      <c r="J90" s="253">
        <v>43043126</v>
      </c>
      <c r="K90" s="195" t="s">
        <v>1191</v>
      </c>
      <c r="L90" s="177"/>
      <c r="M90" s="239"/>
      <c r="N90" s="195" t="s">
        <v>1588</v>
      </c>
      <c r="O90" s="253"/>
      <c r="P90" s="252"/>
      <c r="Q90" s="195"/>
      <c r="R90" s="236"/>
      <c r="S90" s="237" t="s">
        <v>1585</v>
      </c>
      <c r="T90" s="195"/>
      <c r="U90" s="221" t="s">
        <v>160</v>
      </c>
      <c r="V90" s="144" t="s">
        <v>210</v>
      </c>
    </row>
    <row r="91" spans="4:22" hidden="1">
      <c r="E91" s="195">
        <v>7</v>
      </c>
      <c r="F91" s="195" t="s">
        <v>1566</v>
      </c>
      <c r="G91" s="195" t="s">
        <v>151</v>
      </c>
      <c r="H91" s="250" t="s">
        <v>2302</v>
      </c>
      <c r="I91" s="252" t="s">
        <v>760</v>
      </c>
      <c r="J91" s="253">
        <v>70192690</v>
      </c>
      <c r="K91" s="195" t="s">
        <v>1187</v>
      </c>
      <c r="L91" s="177"/>
      <c r="M91" s="239"/>
      <c r="N91" s="195" t="s">
        <v>1588</v>
      </c>
      <c r="O91" s="253"/>
      <c r="P91" s="252"/>
      <c r="Q91" s="195"/>
      <c r="R91" s="236"/>
      <c r="S91" s="237" t="s">
        <v>1585</v>
      </c>
      <c r="T91" s="195"/>
      <c r="U91" s="221" t="s">
        <v>160</v>
      </c>
      <c r="V91" s="144" t="s">
        <v>210</v>
      </c>
    </row>
    <row r="92" spans="4:22" hidden="1">
      <c r="E92" s="195">
        <v>7</v>
      </c>
      <c r="F92" s="195" t="s">
        <v>1566</v>
      </c>
      <c r="G92" s="195" t="s">
        <v>151</v>
      </c>
      <c r="H92" s="250" t="s">
        <v>2302</v>
      </c>
      <c r="I92" s="252" t="s">
        <v>761</v>
      </c>
      <c r="J92" s="253">
        <v>43548803</v>
      </c>
      <c r="K92" s="195" t="s">
        <v>1191</v>
      </c>
      <c r="L92" s="177"/>
      <c r="M92" s="239"/>
      <c r="N92" s="195" t="s">
        <v>1588</v>
      </c>
      <c r="O92" s="253"/>
      <c r="P92" s="252"/>
      <c r="Q92" s="195"/>
      <c r="R92" s="236"/>
      <c r="S92" s="237" t="s">
        <v>1585</v>
      </c>
      <c r="T92" s="195"/>
      <c r="U92" s="221" t="s">
        <v>160</v>
      </c>
      <c r="V92" s="144" t="s">
        <v>210</v>
      </c>
    </row>
    <row r="93" spans="4:22">
      <c r="D93" s="761" t="s">
        <v>2290</v>
      </c>
      <c r="E93" s="755">
        <v>7</v>
      </c>
      <c r="F93" s="755" t="s">
        <v>1566</v>
      </c>
      <c r="G93" s="755" t="s">
        <v>151</v>
      </c>
      <c r="H93" s="826" t="s">
        <v>2303</v>
      </c>
      <c r="I93" s="826" t="s">
        <v>767</v>
      </c>
      <c r="J93" s="827">
        <v>71617408</v>
      </c>
      <c r="K93" s="755" t="s">
        <v>1187</v>
      </c>
      <c r="L93" s="765"/>
      <c r="M93" s="757"/>
      <c r="N93" s="755" t="s">
        <v>1588</v>
      </c>
      <c r="O93" s="827"/>
      <c r="P93" s="826"/>
      <c r="Q93" s="755"/>
      <c r="R93" s="821"/>
      <c r="S93" s="822" t="s">
        <v>1585</v>
      </c>
      <c r="T93" s="755"/>
      <c r="U93" s="760" t="s">
        <v>166</v>
      </c>
      <c r="V93" s="761" t="s">
        <v>210</v>
      </c>
    </row>
    <row r="94" spans="4:22" hidden="1">
      <c r="E94" s="196">
        <v>7</v>
      </c>
      <c r="F94" s="196" t="s">
        <v>1566</v>
      </c>
      <c r="G94" s="196" t="s">
        <v>151</v>
      </c>
      <c r="H94" s="257" t="s">
        <v>2303</v>
      </c>
      <c r="I94" s="263" t="s">
        <v>763</v>
      </c>
      <c r="J94" s="264">
        <v>22234003</v>
      </c>
      <c r="K94" s="196" t="s">
        <v>1191</v>
      </c>
      <c r="L94" s="178"/>
      <c r="M94" s="283"/>
      <c r="N94" s="196" t="s">
        <v>1588</v>
      </c>
      <c r="O94" s="264"/>
      <c r="P94" s="263"/>
      <c r="Q94" s="196"/>
      <c r="R94" s="284"/>
      <c r="S94" s="285" t="s">
        <v>1585</v>
      </c>
      <c r="T94" s="196"/>
      <c r="U94" s="222" t="s">
        <v>160</v>
      </c>
      <c r="V94" s="144" t="s">
        <v>210</v>
      </c>
    </row>
    <row r="95" spans="4:22" hidden="1">
      <c r="E95" s="196">
        <v>7</v>
      </c>
      <c r="F95" s="196" t="s">
        <v>1566</v>
      </c>
      <c r="G95" s="196" t="s">
        <v>151</v>
      </c>
      <c r="H95" s="257" t="s">
        <v>2303</v>
      </c>
      <c r="I95" s="263" t="s">
        <v>764</v>
      </c>
      <c r="J95" s="264">
        <v>32439561</v>
      </c>
      <c r="K95" s="196" t="s">
        <v>1191</v>
      </c>
      <c r="L95" s="178"/>
      <c r="M95" s="283"/>
      <c r="N95" s="196" t="s">
        <v>1588</v>
      </c>
      <c r="O95" s="264"/>
      <c r="P95" s="263"/>
      <c r="Q95" s="196"/>
      <c r="R95" s="284"/>
      <c r="S95" s="285" t="s">
        <v>1585</v>
      </c>
      <c r="T95" s="196"/>
      <c r="U95" s="222" t="s">
        <v>160</v>
      </c>
      <c r="V95" s="144" t="s">
        <v>210</v>
      </c>
    </row>
    <row r="96" spans="4:22" hidden="1">
      <c r="E96" s="196">
        <v>7</v>
      </c>
      <c r="F96" s="196" t="s">
        <v>1566</v>
      </c>
      <c r="G96" s="196" t="s">
        <v>151</v>
      </c>
      <c r="H96" s="257" t="s">
        <v>2303</v>
      </c>
      <c r="I96" s="263" t="s">
        <v>765</v>
      </c>
      <c r="J96" s="264">
        <v>43067285</v>
      </c>
      <c r="K96" s="196" t="s">
        <v>1191</v>
      </c>
      <c r="L96" s="178"/>
      <c r="M96" s="283"/>
      <c r="N96" s="196" t="s">
        <v>1588</v>
      </c>
      <c r="O96" s="264"/>
      <c r="P96" s="263"/>
      <c r="Q96" s="196"/>
      <c r="R96" s="284"/>
      <c r="S96" s="285" t="s">
        <v>1585</v>
      </c>
      <c r="T96" s="196"/>
      <c r="U96" s="222" t="s">
        <v>160</v>
      </c>
      <c r="V96" s="144" t="s">
        <v>210</v>
      </c>
    </row>
    <row r="97" spans="4:22" hidden="1">
      <c r="E97" s="196">
        <v>7</v>
      </c>
      <c r="F97" s="196" t="s">
        <v>1566</v>
      </c>
      <c r="G97" s="196" t="s">
        <v>151</v>
      </c>
      <c r="H97" s="257" t="s">
        <v>2303</v>
      </c>
      <c r="I97" s="263" t="s">
        <v>766</v>
      </c>
      <c r="J97" s="264">
        <v>1017162958</v>
      </c>
      <c r="K97" s="196" t="s">
        <v>1191</v>
      </c>
      <c r="L97" s="178"/>
      <c r="M97" s="283"/>
      <c r="N97" s="196" t="s">
        <v>1588</v>
      </c>
      <c r="O97" s="264"/>
      <c r="P97" s="263"/>
      <c r="Q97" s="196"/>
      <c r="R97" s="284"/>
      <c r="S97" s="285" t="s">
        <v>1585</v>
      </c>
      <c r="T97" s="196"/>
      <c r="U97" s="222" t="s">
        <v>160</v>
      </c>
      <c r="V97" s="144" t="s">
        <v>210</v>
      </c>
    </row>
    <row r="98" spans="4:22" hidden="1">
      <c r="E98" s="196">
        <v>7</v>
      </c>
      <c r="F98" s="196" t="s">
        <v>1566</v>
      </c>
      <c r="G98" s="196" t="s">
        <v>151</v>
      </c>
      <c r="H98" s="257" t="s">
        <v>2303</v>
      </c>
      <c r="I98" s="263" t="s">
        <v>768</v>
      </c>
      <c r="J98" s="264">
        <v>71707275</v>
      </c>
      <c r="K98" s="196" t="s">
        <v>1187</v>
      </c>
      <c r="L98" s="178"/>
      <c r="M98" s="283"/>
      <c r="N98" s="196" t="s">
        <v>1588</v>
      </c>
      <c r="O98" s="264"/>
      <c r="P98" s="263"/>
      <c r="Q98" s="196"/>
      <c r="R98" s="284"/>
      <c r="S98" s="285" t="s">
        <v>1585</v>
      </c>
      <c r="T98" s="196"/>
      <c r="U98" s="222" t="s">
        <v>160</v>
      </c>
      <c r="V98" s="144" t="s">
        <v>210</v>
      </c>
    </row>
    <row r="99" spans="4:22">
      <c r="D99" s="761" t="s">
        <v>2290</v>
      </c>
      <c r="E99" s="755">
        <v>7</v>
      </c>
      <c r="F99" s="755" t="s">
        <v>1566</v>
      </c>
      <c r="G99" s="755" t="s">
        <v>151</v>
      </c>
      <c r="H99" s="826" t="s">
        <v>2304</v>
      </c>
      <c r="I99" s="826" t="s">
        <v>769</v>
      </c>
      <c r="J99" s="827">
        <v>1001022625</v>
      </c>
      <c r="K99" s="755" t="s">
        <v>1187</v>
      </c>
      <c r="L99" s="765"/>
      <c r="M99" s="757"/>
      <c r="N99" s="755" t="s">
        <v>1588</v>
      </c>
      <c r="O99" s="827"/>
      <c r="P99" s="826"/>
      <c r="Q99" s="755"/>
      <c r="R99" s="821"/>
      <c r="S99" s="822" t="s">
        <v>1585</v>
      </c>
      <c r="T99" s="755"/>
      <c r="U99" s="760" t="s">
        <v>166</v>
      </c>
      <c r="V99" s="761" t="s">
        <v>210</v>
      </c>
    </row>
    <row r="100" spans="4:22" hidden="1">
      <c r="E100" s="137">
        <v>7</v>
      </c>
      <c r="F100" s="137" t="s">
        <v>1566</v>
      </c>
      <c r="G100" s="137" t="s">
        <v>151</v>
      </c>
      <c r="H100" s="266" t="s">
        <v>2304</v>
      </c>
      <c r="I100" s="268" t="s">
        <v>770</v>
      </c>
      <c r="J100" s="270">
        <v>43270687</v>
      </c>
      <c r="K100" s="137" t="s">
        <v>1191</v>
      </c>
      <c r="L100" s="179"/>
      <c r="M100" s="286"/>
      <c r="N100" s="137" t="s">
        <v>1588</v>
      </c>
      <c r="O100" s="270"/>
      <c r="P100" s="268"/>
      <c r="Q100" s="137"/>
      <c r="R100" s="287"/>
      <c r="S100" s="288" t="s">
        <v>1585</v>
      </c>
      <c r="T100" s="137"/>
      <c r="U100" s="223" t="s">
        <v>160</v>
      </c>
      <c r="V100" s="144" t="s">
        <v>210</v>
      </c>
    </row>
    <row r="101" spans="4:22" hidden="1">
      <c r="E101" s="137">
        <v>7</v>
      </c>
      <c r="F101" s="137" t="s">
        <v>1566</v>
      </c>
      <c r="G101" s="137" t="s">
        <v>151</v>
      </c>
      <c r="H101" s="266" t="s">
        <v>2304</v>
      </c>
      <c r="I101" s="267" t="s">
        <v>771</v>
      </c>
      <c r="J101" s="281">
        <v>1152691358</v>
      </c>
      <c r="K101" s="137" t="s">
        <v>1187</v>
      </c>
      <c r="L101" s="179"/>
      <c r="M101" s="286"/>
      <c r="N101" s="137" t="s">
        <v>1588</v>
      </c>
      <c r="O101" s="270"/>
      <c r="P101" s="268"/>
      <c r="Q101" s="137"/>
      <c r="R101" s="287"/>
      <c r="S101" s="288" t="s">
        <v>1585</v>
      </c>
      <c r="T101" s="137"/>
      <c r="U101" s="223" t="s">
        <v>160</v>
      </c>
      <c r="V101" s="144" t="s">
        <v>210</v>
      </c>
    </row>
    <row r="102" spans="4:22" hidden="1">
      <c r="E102" s="137">
        <v>7</v>
      </c>
      <c r="F102" s="137" t="s">
        <v>1566</v>
      </c>
      <c r="G102" s="137" t="s">
        <v>151</v>
      </c>
      <c r="H102" s="266" t="s">
        <v>2304</v>
      </c>
      <c r="I102" s="268" t="s">
        <v>772</v>
      </c>
      <c r="J102" s="270">
        <v>32543483</v>
      </c>
      <c r="K102" s="137" t="s">
        <v>1191</v>
      </c>
      <c r="L102" s="179"/>
      <c r="M102" s="286"/>
      <c r="N102" s="137" t="s">
        <v>1588</v>
      </c>
      <c r="O102" s="270"/>
      <c r="P102" s="268"/>
      <c r="Q102" s="137"/>
      <c r="R102" s="287"/>
      <c r="S102" s="288" t="s">
        <v>1585</v>
      </c>
      <c r="T102" s="137"/>
      <c r="U102" s="223" t="s">
        <v>160</v>
      </c>
      <c r="V102" s="144" t="s">
        <v>210</v>
      </c>
    </row>
    <row r="103" spans="4:22" hidden="1">
      <c r="E103" s="137">
        <v>7</v>
      </c>
      <c r="F103" s="137" t="s">
        <v>1566</v>
      </c>
      <c r="G103" s="137" t="s">
        <v>151</v>
      </c>
      <c r="H103" s="266" t="s">
        <v>2304</v>
      </c>
      <c r="I103" s="268" t="s">
        <v>773</v>
      </c>
      <c r="J103" s="270">
        <v>32539266</v>
      </c>
      <c r="K103" s="137" t="s">
        <v>1191</v>
      </c>
      <c r="L103" s="179"/>
      <c r="M103" s="286"/>
      <c r="N103" s="137" t="s">
        <v>1588</v>
      </c>
      <c r="O103" s="270"/>
      <c r="P103" s="268"/>
      <c r="Q103" s="137"/>
      <c r="R103" s="287"/>
      <c r="S103" s="288" t="s">
        <v>1585</v>
      </c>
      <c r="T103" s="137"/>
      <c r="U103" s="223" t="s">
        <v>160</v>
      </c>
      <c r="V103" s="144" t="s">
        <v>210</v>
      </c>
    </row>
    <row r="104" spans="4:22" hidden="1">
      <c r="E104" s="137">
        <v>7</v>
      </c>
      <c r="F104" s="137" t="s">
        <v>1566</v>
      </c>
      <c r="G104" s="137" t="s">
        <v>151</v>
      </c>
      <c r="H104" s="266" t="s">
        <v>2304</v>
      </c>
      <c r="I104" s="268" t="s">
        <v>774</v>
      </c>
      <c r="J104" s="270">
        <v>1032010289</v>
      </c>
      <c r="K104" s="137" t="s">
        <v>1191</v>
      </c>
      <c r="L104" s="179"/>
      <c r="M104" s="286"/>
      <c r="N104" s="137" t="s">
        <v>1588</v>
      </c>
      <c r="O104" s="270"/>
      <c r="P104" s="268"/>
      <c r="Q104" s="137"/>
      <c r="R104" s="287"/>
      <c r="S104" s="288" t="s">
        <v>1585</v>
      </c>
      <c r="T104" s="137"/>
      <c r="U104" s="223" t="s">
        <v>160</v>
      </c>
      <c r="V104" s="144" t="s">
        <v>210</v>
      </c>
    </row>
    <row r="105" spans="4:22" hidden="1">
      <c r="E105" s="200">
        <v>7</v>
      </c>
      <c r="F105" s="200" t="s">
        <v>1566</v>
      </c>
      <c r="G105" s="200" t="s">
        <v>151</v>
      </c>
      <c r="H105" s="939" t="s">
        <v>2305</v>
      </c>
      <c r="I105" s="248" t="s">
        <v>1555</v>
      </c>
      <c r="J105" s="247">
        <v>1216714735</v>
      </c>
      <c r="K105" s="200" t="s">
        <v>1187</v>
      </c>
      <c r="L105" s="191"/>
      <c r="M105" s="238"/>
      <c r="N105" s="200" t="s">
        <v>1588</v>
      </c>
      <c r="O105" s="247"/>
      <c r="P105" s="248"/>
      <c r="Q105" s="200" t="s">
        <v>1665</v>
      </c>
      <c r="R105" s="234"/>
      <c r="S105" s="235" t="s">
        <v>1585</v>
      </c>
      <c r="T105" s="200"/>
      <c r="U105" s="224" t="s">
        <v>160</v>
      </c>
      <c r="V105" s="144" t="s">
        <v>210</v>
      </c>
    </row>
    <row r="106" spans="4:22" hidden="1">
      <c r="E106" s="200">
        <v>7</v>
      </c>
      <c r="F106" s="200" t="s">
        <v>1566</v>
      </c>
      <c r="G106" s="200" t="s">
        <v>151</v>
      </c>
      <c r="H106" s="248" t="s">
        <v>2305</v>
      </c>
      <c r="I106" s="248" t="str">
        <f>PROPER("MARIA CAMILA SOTO")</f>
        <v>Maria Camila Soto</v>
      </c>
      <c r="J106" s="247">
        <v>1152707595</v>
      </c>
      <c r="K106" s="200" t="s">
        <v>1191</v>
      </c>
      <c r="L106" s="191"/>
      <c r="M106" s="238"/>
      <c r="N106" s="200" t="s">
        <v>1588</v>
      </c>
      <c r="O106" s="247"/>
      <c r="P106" s="248"/>
      <c r="Q106" s="200" t="s">
        <v>1665</v>
      </c>
      <c r="R106" s="234"/>
      <c r="S106" s="235" t="s">
        <v>1585</v>
      </c>
      <c r="T106" s="200"/>
      <c r="U106" s="224" t="s">
        <v>160</v>
      </c>
      <c r="V106" s="144" t="s">
        <v>210</v>
      </c>
    </row>
    <row r="107" spans="4:22" hidden="1">
      <c r="E107" s="200">
        <v>7</v>
      </c>
      <c r="F107" s="200" t="s">
        <v>1566</v>
      </c>
      <c r="G107" s="200" t="s">
        <v>151</v>
      </c>
      <c r="H107" s="248" t="s">
        <v>2305</v>
      </c>
      <c r="I107" s="248" t="str">
        <f>PROPER("JUAN DANIEL BEDOYA BOLAÑO")</f>
        <v>Juan Daniel Bedoya Bolaño</v>
      </c>
      <c r="J107" s="247"/>
      <c r="K107" s="200" t="s">
        <v>1187</v>
      </c>
      <c r="L107" s="191"/>
      <c r="M107" s="238"/>
      <c r="N107" s="200" t="s">
        <v>1588</v>
      </c>
      <c r="O107" s="247"/>
      <c r="P107" s="248"/>
      <c r="Q107" s="200" t="s">
        <v>1665</v>
      </c>
      <c r="R107" s="234"/>
      <c r="S107" s="235" t="s">
        <v>1585</v>
      </c>
      <c r="T107" s="200"/>
      <c r="U107" s="224" t="s">
        <v>160</v>
      </c>
      <c r="V107" s="144" t="s">
        <v>210</v>
      </c>
    </row>
    <row r="108" spans="4:22" hidden="1">
      <c r="E108" s="200">
        <v>7</v>
      </c>
      <c r="F108" s="200" t="s">
        <v>1566</v>
      </c>
      <c r="G108" s="200" t="s">
        <v>151</v>
      </c>
      <c r="H108" s="248" t="s">
        <v>2305</v>
      </c>
      <c r="I108" s="248" t="str">
        <f>PROPER("ESTEBAN MONSALVE VELEZ")</f>
        <v>Esteban Monsalve Velez</v>
      </c>
      <c r="J108" s="247">
        <v>1017213698</v>
      </c>
      <c r="K108" s="200" t="s">
        <v>1187</v>
      </c>
      <c r="L108" s="191"/>
      <c r="M108" s="238"/>
      <c r="N108" s="200" t="s">
        <v>1588</v>
      </c>
      <c r="O108" s="247"/>
      <c r="P108" s="248"/>
      <c r="Q108" s="200" t="s">
        <v>1665</v>
      </c>
      <c r="R108" s="234"/>
      <c r="S108" s="235" t="s">
        <v>1585</v>
      </c>
      <c r="T108" s="200"/>
      <c r="U108" s="224" t="s">
        <v>160</v>
      </c>
      <c r="V108" s="144" t="s">
        <v>210</v>
      </c>
    </row>
    <row r="109" spans="4:22">
      <c r="D109" s="761" t="s">
        <v>2290</v>
      </c>
      <c r="E109" s="755">
        <v>7</v>
      </c>
      <c r="F109" s="755" t="s">
        <v>1566</v>
      </c>
      <c r="G109" s="755" t="s">
        <v>151</v>
      </c>
      <c r="H109" s="826" t="s">
        <v>2306</v>
      </c>
      <c r="I109" s="826" t="str">
        <f>PROPER("SANDRA MILENA MURILLO GARZON")</f>
        <v>Sandra Milena Murillo Garzon</v>
      </c>
      <c r="J109" s="827"/>
      <c r="K109" s="755" t="s">
        <v>1191</v>
      </c>
      <c r="L109" s="765"/>
      <c r="M109" s="757"/>
      <c r="N109" s="755" t="s">
        <v>1588</v>
      </c>
      <c r="O109" s="827"/>
      <c r="P109" s="826"/>
      <c r="Q109" s="755"/>
      <c r="R109" s="821"/>
      <c r="S109" s="822" t="s">
        <v>1585</v>
      </c>
      <c r="T109" s="755"/>
      <c r="U109" s="760" t="s">
        <v>166</v>
      </c>
      <c r="V109" s="761" t="s">
        <v>210</v>
      </c>
    </row>
    <row r="110" spans="4:22" hidden="1">
      <c r="E110" s="195">
        <v>7</v>
      </c>
      <c r="F110" s="195" t="s">
        <v>1566</v>
      </c>
      <c r="G110" s="195" t="s">
        <v>151</v>
      </c>
      <c r="H110" s="250" t="s">
        <v>2306</v>
      </c>
      <c r="I110" s="252" t="s">
        <v>775</v>
      </c>
      <c r="J110" s="253">
        <v>71694390</v>
      </c>
      <c r="K110" s="195" t="s">
        <v>1187</v>
      </c>
      <c r="L110" s="177"/>
      <c r="M110" s="239"/>
      <c r="N110" s="195" t="s">
        <v>1588</v>
      </c>
      <c r="O110" s="253"/>
      <c r="P110" s="252"/>
      <c r="Q110" s="195"/>
      <c r="R110" s="236"/>
      <c r="S110" s="237" t="s">
        <v>1585</v>
      </c>
      <c r="T110" s="195"/>
      <c r="U110" s="221" t="s">
        <v>160</v>
      </c>
      <c r="V110" s="144" t="s">
        <v>210</v>
      </c>
    </row>
    <row r="111" spans="4:22" hidden="1">
      <c r="E111" s="195">
        <v>7</v>
      </c>
      <c r="F111" s="195" t="s">
        <v>1566</v>
      </c>
      <c r="G111" s="195" t="s">
        <v>151</v>
      </c>
      <c r="H111" s="250" t="s">
        <v>2306</v>
      </c>
      <c r="I111" s="252" t="s">
        <v>776</v>
      </c>
      <c r="J111" s="253"/>
      <c r="K111" s="195" t="s">
        <v>1187</v>
      </c>
      <c r="L111" s="177"/>
      <c r="M111" s="239"/>
      <c r="N111" s="195" t="s">
        <v>1588</v>
      </c>
      <c r="O111" s="253"/>
      <c r="P111" s="252"/>
      <c r="Q111" s="195"/>
      <c r="R111" s="236"/>
      <c r="S111" s="237" t="s">
        <v>1585</v>
      </c>
      <c r="T111" s="195"/>
      <c r="U111" s="221" t="s">
        <v>160</v>
      </c>
      <c r="V111" s="144" t="s">
        <v>210</v>
      </c>
    </row>
    <row r="112" spans="4:22" hidden="1">
      <c r="E112" s="195">
        <v>7</v>
      </c>
      <c r="F112" s="195" t="s">
        <v>1566</v>
      </c>
      <c r="G112" s="195" t="s">
        <v>151</v>
      </c>
      <c r="H112" s="250" t="s">
        <v>2306</v>
      </c>
      <c r="I112" s="252" t="s">
        <v>777</v>
      </c>
      <c r="J112" s="253"/>
      <c r="K112" s="195" t="s">
        <v>1191</v>
      </c>
      <c r="L112" s="177"/>
      <c r="M112" s="239"/>
      <c r="N112" s="195" t="s">
        <v>1588</v>
      </c>
      <c r="O112" s="253"/>
      <c r="P112" s="252"/>
      <c r="Q112" s="195"/>
      <c r="R112" s="236"/>
      <c r="S112" s="237" t="s">
        <v>1585</v>
      </c>
      <c r="T112" s="195"/>
      <c r="U112" s="221" t="s">
        <v>160</v>
      </c>
      <c r="V112" s="144" t="s">
        <v>210</v>
      </c>
    </row>
    <row r="113" spans="4:22" hidden="1">
      <c r="E113" s="195">
        <v>7</v>
      </c>
      <c r="F113" s="195" t="s">
        <v>1566</v>
      </c>
      <c r="G113" s="195" t="s">
        <v>151</v>
      </c>
      <c r="H113" s="250" t="s">
        <v>2306</v>
      </c>
      <c r="I113" s="252" t="s">
        <v>778</v>
      </c>
      <c r="J113" s="253">
        <v>10172399378</v>
      </c>
      <c r="K113" s="195" t="s">
        <v>1187</v>
      </c>
      <c r="L113" s="177"/>
      <c r="M113" s="239"/>
      <c r="N113" s="195" t="s">
        <v>1588</v>
      </c>
      <c r="O113" s="253"/>
      <c r="P113" s="252"/>
      <c r="Q113" s="195"/>
      <c r="R113" s="236"/>
      <c r="S113" s="237" t="s">
        <v>1585</v>
      </c>
      <c r="T113" s="195"/>
      <c r="U113" s="221" t="s">
        <v>160</v>
      </c>
      <c r="V113" s="144" t="s">
        <v>210</v>
      </c>
    </row>
    <row r="114" spans="4:22" hidden="1">
      <c r="E114" s="195">
        <v>7</v>
      </c>
      <c r="F114" s="195" t="s">
        <v>1566</v>
      </c>
      <c r="G114" s="195" t="s">
        <v>151</v>
      </c>
      <c r="H114" s="250" t="s">
        <v>2306</v>
      </c>
      <c r="I114" s="252" t="s">
        <v>779</v>
      </c>
      <c r="J114" s="253">
        <v>1017229760</v>
      </c>
      <c r="K114" s="195" t="s">
        <v>1187</v>
      </c>
      <c r="L114" s="177"/>
      <c r="M114" s="239"/>
      <c r="N114" s="195" t="s">
        <v>1588</v>
      </c>
      <c r="O114" s="253"/>
      <c r="P114" s="252"/>
      <c r="Q114" s="195"/>
      <c r="R114" s="236"/>
      <c r="S114" s="237" t="s">
        <v>1585</v>
      </c>
      <c r="T114" s="195"/>
      <c r="U114" s="221" t="s">
        <v>160</v>
      </c>
      <c r="V114" s="144" t="s">
        <v>210</v>
      </c>
    </row>
    <row r="115" spans="4:22">
      <c r="D115" s="761" t="s">
        <v>2290</v>
      </c>
      <c r="E115" s="755">
        <v>7</v>
      </c>
      <c r="F115" s="755" t="s">
        <v>1566</v>
      </c>
      <c r="G115" s="755" t="s">
        <v>151</v>
      </c>
      <c r="H115" s="826" t="s">
        <v>2307</v>
      </c>
      <c r="I115" s="826" t="s">
        <v>784</v>
      </c>
      <c r="J115" s="827">
        <v>325244110</v>
      </c>
      <c r="K115" s="755" t="s">
        <v>1191</v>
      </c>
      <c r="L115" s="765"/>
      <c r="M115" s="757"/>
      <c r="N115" s="755" t="s">
        <v>1588</v>
      </c>
      <c r="O115" s="827"/>
      <c r="P115" s="826"/>
      <c r="Q115" s="755"/>
      <c r="R115" s="821"/>
      <c r="S115" s="822" t="s">
        <v>1585</v>
      </c>
      <c r="T115" s="755"/>
      <c r="U115" s="760" t="s">
        <v>166</v>
      </c>
      <c r="V115" s="761" t="s">
        <v>210</v>
      </c>
    </row>
    <row r="116" spans="4:22" hidden="1">
      <c r="E116" s="196">
        <v>7</v>
      </c>
      <c r="F116" s="196" t="s">
        <v>1566</v>
      </c>
      <c r="G116" s="196" t="s">
        <v>151</v>
      </c>
      <c r="H116" s="257" t="s">
        <v>2307</v>
      </c>
      <c r="I116" s="263" t="s">
        <v>780</v>
      </c>
      <c r="J116" s="264"/>
      <c r="K116" s="196" t="s">
        <v>1187</v>
      </c>
      <c r="L116" s="178"/>
      <c r="M116" s="283"/>
      <c r="N116" s="196" t="s">
        <v>1588</v>
      </c>
      <c r="O116" s="264"/>
      <c r="P116" s="263"/>
      <c r="Q116" s="196"/>
      <c r="R116" s="284"/>
      <c r="S116" s="285" t="s">
        <v>1585</v>
      </c>
      <c r="T116" s="196"/>
      <c r="U116" s="222" t="s">
        <v>160</v>
      </c>
      <c r="V116" s="144" t="s">
        <v>210</v>
      </c>
    </row>
    <row r="117" spans="4:22" hidden="1">
      <c r="E117" s="196">
        <v>7</v>
      </c>
      <c r="F117" s="196" t="s">
        <v>1566</v>
      </c>
      <c r="G117" s="196" t="s">
        <v>151</v>
      </c>
      <c r="H117" s="257" t="s">
        <v>2307</v>
      </c>
      <c r="I117" s="263" t="s">
        <v>781</v>
      </c>
      <c r="J117" s="264"/>
      <c r="K117" s="196" t="s">
        <v>1191</v>
      </c>
      <c r="L117" s="178"/>
      <c r="M117" s="283"/>
      <c r="N117" s="196" t="s">
        <v>1588</v>
      </c>
      <c r="O117" s="264"/>
      <c r="P117" s="263"/>
      <c r="Q117" s="196"/>
      <c r="R117" s="284"/>
      <c r="S117" s="285" t="s">
        <v>1585</v>
      </c>
      <c r="T117" s="196"/>
      <c r="U117" s="222" t="s">
        <v>160</v>
      </c>
      <c r="V117" s="144" t="s">
        <v>210</v>
      </c>
    </row>
    <row r="118" spans="4:22" hidden="1">
      <c r="E118" s="196">
        <v>7</v>
      </c>
      <c r="F118" s="196" t="s">
        <v>1566</v>
      </c>
      <c r="G118" s="196" t="s">
        <v>151</v>
      </c>
      <c r="H118" s="257" t="s">
        <v>2307</v>
      </c>
      <c r="I118" s="263" t="s">
        <v>782</v>
      </c>
      <c r="J118" s="264"/>
      <c r="K118" s="196" t="s">
        <v>1187</v>
      </c>
      <c r="L118" s="178"/>
      <c r="M118" s="283"/>
      <c r="N118" s="196" t="s">
        <v>1588</v>
      </c>
      <c r="O118" s="264"/>
      <c r="P118" s="263"/>
      <c r="Q118" s="196"/>
      <c r="R118" s="284"/>
      <c r="S118" s="285" t="s">
        <v>1585</v>
      </c>
      <c r="T118" s="196"/>
      <c r="U118" s="222" t="s">
        <v>160</v>
      </c>
      <c r="V118" s="144" t="s">
        <v>210</v>
      </c>
    </row>
    <row r="119" spans="4:22" hidden="1">
      <c r="E119" s="196">
        <v>7</v>
      </c>
      <c r="F119" s="196" t="s">
        <v>1566</v>
      </c>
      <c r="G119" s="196" t="s">
        <v>151</v>
      </c>
      <c r="H119" s="257" t="s">
        <v>2307</v>
      </c>
      <c r="I119" s="263" t="s">
        <v>783</v>
      </c>
      <c r="J119" s="264">
        <v>8389487</v>
      </c>
      <c r="K119" s="196" t="s">
        <v>1187</v>
      </c>
      <c r="L119" s="178"/>
      <c r="M119" s="283"/>
      <c r="N119" s="196" t="s">
        <v>1588</v>
      </c>
      <c r="O119" s="264"/>
      <c r="P119" s="263"/>
      <c r="Q119" s="196"/>
      <c r="R119" s="284"/>
      <c r="S119" s="285" t="s">
        <v>1585</v>
      </c>
      <c r="T119" s="196"/>
      <c r="U119" s="222" t="s">
        <v>160</v>
      </c>
      <c r="V119" s="144" t="s">
        <v>210</v>
      </c>
    </row>
    <row r="120" spans="4:22" hidden="1">
      <c r="E120" s="196">
        <v>7</v>
      </c>
      <c r="F120" s="196" t="s">
        <v>1566</v>
      </c>
      <c r="G120" s="196" t="s">
        <v>151</v>
      </c>
      <c r="H120" s="257" t="s">
        <v>2307</v>
      </c>
      <c r="I120" s="263" t="s">
        <v>785</v>
      </c>
      <c r="J120" s="264"/>
      <c r="K120" s="196" t="s">
        <v>1191</v>
      </c>
      <c r="L120" s="178"/>
      <c r="M120" s="283"/>
      <c r="N120" s="196" t="s">
        <v>1588</v>
      </c>
      <c r="O120" s="264"/>
      <c r="P120" s="263"/>
      <c r="Q120" s="196"/>
      <c r="R120" s="284"/>
      <c r="S120" s="285" t="s">
        <v>1585</v>
      </c>
      <c r="T120" s="196"/>
      <c r="U120" s="222" t="s">
        <v>160</v>
      </c>
      <c r="V120" s="144" t="s">
        <v>210</v>
      </c>
    </row>
    <row r="121" spans="4:22">
      <c r="D121" s="761" t="s">
        <v>2290</v>
      </c>
      <c r="E121" s="755">
        <v>7</v>
      </c>
      <c r="F121" s="755" t="s">
        <v>1566</v>
      </c>
      <c r="G121" s="755" t="s">
        <v>151</v>
      </c>
      <c r="H121" s="826" t="s">
        <v>2308</v>
      </c>
      <c r="I121" s="826" t="s">
        <v>787</v>
      </c>
      <c r="J121" s="827">
        <v>43657147</v>
      </c>
      <c r="K121" s="755" t="s">
        <v>1191</v>
      </c>
      <c r="L121" s="765"/>
      <c r="M121" s="757"/>
      <c r="N121" s="755" t="s">
        <v>1588</v>
      </c>
      <c r="O121" s="827"/>
      <c r="P121" s="826"/>
      <c r="Q121" s="755"/>
      <c r="R121" s="821"/>
      <c r="S121" s="822" t="s">
        <v>1585</v>
      </c>
      <c r="T121" s="755"/>
      <c r="U121" s="760" t="s">
        <v>166</v>
      </c>
      <c r="V121" s="761" t="s">
        <v>210</v>
      </c>
    </row>
    <row r="122" spans="4:22" hidden="1">
      <c r="E122" s="137">
        <v>7</v>
      </c>
      <c r="F122" s="137" t="s">
        <v>1566</v>
      </c>
      <c r="G122" s="137" t="s">
        <v>151</v>
      </c>
      <c r="H122" s="266" t="s">
        <v>2308</v>
      </c>
      <c r="I122" s="268" t="s">
        <v>786</v>
      </c>
      <c r="J122" s="270">
        <v>43915691</v>
      </c>
      <c r="K122" s="137" t="s">
        <v>1191</v>
      </c>
      <c r="L122" s="179"/>
      <c r="M122" s="286"/>
      <c r="N122" s="137" t="s">
        <v>1588</v>
      </c>
      <c r="O122" s="270"/>
      <c r="P122" s="268"/>
      <c r="Q122" s="137"/>
      <c r="R122" s="287"/>
      <c r="S122" s="288" t="s">
        <v>1585</v>
      </c>
      <c r="T122" s="137"/>
      <c r="U122" s="223" t="s">
        <v>160</v>
      </c>
      <c r="V122" s="144" t="s">
        <v>210</v>
      </c>
    </row>
    <row r="123" spans="4:22" hidden="1">
      <c r="E123" s="137">
        <v>7</v>
      </c>
      <c r="F123" s="137" t="s">
        <v>1566</v>
      </c>
      <c r="G123" s="137" t="s">
        <v>151</v>
      </c>
      <c r="H123" s="266" t="s">
        <v>2308</v>
      </c>
      <c r="I123" s="268" t="s">
        <v>788</v>
      </c>
      <c r="J123" s="270">
        <v>32241538</v>
      </c>
      <c r="K123" s="137" t="s">
        <v>1191</v>
      </c>
      <c r="L123" s="179"/>
      <c r="M123" s="286"/>
      <c r="N123" s="137" t="s">
        <v>1588</v>
      </c>
      <c r="O123" s="270"/>
      <c r="P123" s="268"/>
      <c r="Q123" s="137"/>
      <c r="R123" s="287"/>
      <c r="S123" s="288" t="s">
        <v>1585</v>
      </c>
      <c r="T123" s="137"/>
      <c r="U123" s="223" t="s">
        <v>160</v>
      </c>
      <c r="V123" s="144" t="s">
        <v>210</v>
      </c>
    </row>
    <row r="124" spans="4:22" hidden="1">
      <c r="E124" s="137">
        <v>7</v>
      </c>
      <c r="F124" s="137" t="s">
        <v>1566</v>
      </c>
      <c r="G124" s="137" t="s">
        <v>151</v>
      </c>
      <c r="H124" s="266" t="s">
        <v>2308</v>
      </c>
      <c r="I124" s="268" t="s">
        <v>789</v>
      </c>
      <c r="J124" s="270">
        <v>1112470223</v>
      </c>
      <c r="K124" s="137" t="s">
        <v>1191</v>
      </c>
      <c r="L124" s="179"/>
      <c r="M124" s="286"/>
      <c r="N124" s="137" t="s">
        <v>1588</v>
      </c>
      <c r="O124" s="270"/>
      <c r="P124" s="268"/>
      <c r="Q124" s="137"/>
      <c r="R124" s="287"/>
      <c r="S124" s="288" t="s">
        <v>1585</v>
      </c>
      <c r="T124" s="137"/>
      <c r="U124" s="223" t="s">
        <v>160</v>
      </c>
      <c r="V124" s="144" t="s">
        <v>210</v>
      </c>
    </row>
    <row r="125" spans="4:22" hidden="1">
      <c r="E125" s="137">
        <v>7</v>
      </c>
      <c r="F125" s="137" t="s">
        <v>1566</v>
      </c>
      <c r="G125" s="137" t="s">
        <v>151</v>
      </c>
      <c r="H125" s="266" t="s">
        <v>2308</v>
      </c>
      <c r="I125" s="268" t="s">
        <v>790</v>
      </c>
      <c r="J125" s="270">
        <v>98715037</v>
      </c>
      <c r="K125" s="137" t="s">
        <v>1187</v>
      </c>
      <c r="L125" s="179"/>
      <c r="M125" s="286"/>
      <c r="N125" s="137" t="s">
        <v>1588</v>
      </c>
      <c r="O125" s="270"/>
      <c r="P125" s="268"/>
      <c r="Q125" s="137"/>
      <c r="R125" s="287"/>
      <c r="S125" s="288" t="s">
        <v>1585</v>
      </c>
      <c r="T125" s="137"/>
      <c r="U125" s="223" t="s">
        <v>160</v>
      </c>
      <c r="V125" s="144" t="s">
        <v>210</v>
      </c>
    </row>
    <row r="126" spans="4:22" hidden="1">
      <c r="E126" s="137">
        <v>7</v>
      </c>
      <c r="F126" s="137" t="s">
        <v>1566</v>
      </c>
      <c r="G126" s="137" t="s">
        <v>151</v>
      </c>
      <c r="H126" s="266" t="s">
        <v>2308</v>
      </c>
      <c r="I126" s="268" t="s">
        <v>791</v>
      </c>
      <c r="J126" s="270">
        <v>43514170</v>
      </c>
      <c r="K126" s="137" t="s">
        <v>1191</v>
      </c>
      <c r="L126" s="179"/>
      <c r="M126" s="286"/>
      <c r="N126" s="137" t="s">
        <v>1588</v>
      </c>
      <c r="O126" s="270"/>
      <c r="P126" s="268"/>
      <c r="Q126" s="137"/>
      <c r="R126" s="287"/>
      <c r="S126" s="288" t="s">
        <v>1585</v>
      </c>
      <c r="T126" s="137"/>
      <c r="U126" s="223" t="s">
        <v>160</v>
      </c>
      <c r="V126" s="144" t="s">
        <v>210</v>
      </c>
    </row>
    <row r="127" spans="4:22">
      <c r="D127" s="761" t="s">
        <v>2290</v>
      </c>
      <c r="E127" s="755">
        <v>7</v>
      </c>
      <c r="F127" s="755" t="s">
        <v>1566</v>
      </c>
      <c r="G127" s="755" t="s">
        <v>151</v>
      </c>
      <c r="H127" s="826" t="s">
        <v>2309</v>
      </c>
      <c r="I127" s="827" t="s">
        <v>1556</v>
      </c>
      <c r="J127" s="827">
        <v>42962054</v>
      </c>
      <c r="K127" s="755" t="s">
        <v>1191</v>
      </c>
      <c r="L127" s="765"/>
      <c r="M127" s="757"/>
      <c r="N127" s="755" t="s">
        <v>1588</v>
      </c>
      <c r="O127" s="827"/>
      <c r="P127" s="826"/>
      <c r="Q127" s="755" t="s">
        <v>1670</v>
      </c>
      <c r="R127" s="821"/>
      <c r="S127" s="822" t="s">
        <v>1585</v>
      </c>
      <c r="T127" s="755"/>
      <c r="U127" s="760" t="s">
        <v>166</v>
      </c>
      <c r="V127" s="761" t="s">
        <v>210</v>
      </c>
    </row>
    <row r="128" spans="4:22" hidden="1">
      <c r="E128" s="200">
        <v>7</v>
      </c>
      <c r="F128" s="200" t="s">
        <v>1566</v>
      </c>
      <c r="G128" s="200" t="s">
        <v>151</v>
      </c>
      <c r="H128" s="278" t="s">
        <v>2309</v>
      </c>
      <c r="I128" s="247" t="s">
        <v>792</v>
      </c>
      <c r="J128" s="247">
        <v>43531535</v>
      </c>
      <c r="K128" s="200" t="s">
        <v>1191</v>
      </c>
      <c r="L128" s="191"/>
      <c r="M128" s="238"/>
      <c r="N128" s="200" t="s">
        <v>1588</v>
      </c>
      <c r="O128" s="247"/>
      <c r="P128" s="248"/>
      <c r="Q128" s="200" t="s">
        <v>1670</v>
      </c>
      <c r="R128" s="234"/>
      <c r="S128" s="235" t="s">
        <v>1585</v>
      </c>
      <c r="T128" s="200"/>
      <c r="U128" s="224" t="s">
        <v>160</v>
      </c>
      <c r="V128" s="144" t="s">
        <v>210</v>
      </c>
    </row>
    <row r="129" spans="4:22" hidden="1">
      <c r="E129" s="200">
        <v>7</v>
      </c>
      <c r="F129" s="200" t="s">
        <v>1566</v>
      </c>
      <c r="G129" s="200" t="s">
        <v>151</v>
      </c>
      <c r="H129" s="278" t="s">
        <v>2309</v>
      </c>
      <c r="I129" s="247" t="s">
        <v>793</v>
      </c>
      <c r="J129" s="247">
        <v>43250601</v>
      </c>
      <c r="K129" s="200" t="s">
        <v>1191</v>
      </c>
      <c r="L129" s="191"/>
      <c r="M129" s="238"/>
      <c r="N129" s="200" t="s">
        <v>1588</v>
      </c>
      <c r="O129" s="247"/>
      <c r="P129" s="248"/>
      <c r="Q129" s="200" t="s">
        <v>1670</v>
      </c>
      <c r="R129" s="234"/>
      <c r="S129" s="235" t="s">
        <v>1585</v>
      </c>
      <c r="T129" s="200"/>
      <c r="U129" s="224" t="s">
        <v>160</v>
      </c>
      <c r="V129" s="144" t="s">
        <v>210</v>
      </c>
    </row>
    <row r="130" spans="4:22" hidden="1">
      <c r="E130" s="200">
        <v>7</v>
      </c>
      <c r="F130" s="200" t="s">
        <v>1566</v>
      </c>
      <c r="G130" s="200" t="s">
        <v>151</v>
      </c>
      <c r="H130" s="278" t="s">
        <v>2309</v>
      </c>
      <c r="I130" s="247" t="s">
        <v>794</v>
      </c>
      <c r="J130" s="247">
        <v>21424386</v>
      </c>
      <c r="K130" s="200" t="s">
        <v>1191</v>
      </c>
      <c r="L130" s="191"/>
      <c r="M130" s="238"/>
      <c r="N130" s="200" t="s">
        <v>1588</v>
      </c>
      <c r="O130" s="247"/>
      <c r="P130" s="248"/>
      <c r="Q130" s="200" t="s">
        <v>1670</v>
      </c>
      <c r="R130" s="234"/>
      <c r="S130" s="235" t="s">
        <v>1585</v>
      </c>
      <c r="T130" s="200"/>
      <c r="U130" s="224" t="s">
        <v>160</v>
      </c>
      <c r="V130" s="144" t="s">
        <v>210</v>
      </c>
    </row>
    <row r="131" spans="4:22" hidden="1">
      <c r="E131" s="200">
        <v>7</v>
      </c>
      <c r="F131" s="200" t="s">
        <v>1566</v>
      </c>
      <c r="G131" s="200" t="s">
        <v>151</v>
      </c>
      <c r="H131" s="278" t="s">
        <v>2309</v>
      </c>
      <c r="I131" s="247" t="s">
        <v>795</v>
      </c>
      <c r="J131" s="247">
        <v>43577502</v>
      </c>
      <c r="K131" s="200" t="s">
        <v>1191</v>
      </c>
      <c r="L131" s="191"/>
      <c r="M131" s="238"/>
      <c r="N131" s="200" t="s">
        <v>1588</v>
      </c>
      <c r="O131" s="247"/>
      <c r="P131" s="248"/>
      <c r="Q131" s="200" t="s">
        <v>1670</v>
      </c>
      <c r="R131" s="234"/>
      <c r="S131" s="235" t="s">
        <v>1585</v>
      </c>
      <c r="T131" s="200"/>
      <c r="U131" s="224" t="s">
        <v>160</v>
      </c>
      <c r="V131" s="144" t="s">
        <v>210</v>
      </c>
    </row>
    <row r="132" spans="4:22" hidden="1">
      <c r="E132" s="200">
        <v>7</v>
      </c>
      <c r="F132" s="200" t="s">
        <v>1566</v>
      </c>
      <c r="G132" s="200" t="s">
        <v>151</v>
      </c>
      <c r="H132" s="278" t="s">
        <v>2309</v>
      </c>
      <c r="I132" s="247" t="s">
        <v>796</v>
      </c>
      <c r="J132" s="247">
        <v>38891576</v>
      </c>
      <c r="K132" s="200" t="s">
        <v>1191</v>
      </c>
      <c r="L132" s="191"/>
      <c r="M132" s="238"/>
      <c r="N132" s="200" t="s">
        <v>1588</v>
      </c>
      <c r="O132" s="247"/>
      <c r="P132" s="248"/>
      <c r="Q132" s="200" t="s">
        <v>1670</v>
      </c>
      <c r="R132" s="234"/>
      <c r="S132" s="235" t="s">
        <v>1585</v>
      </c>
      <c r="T132" s="200"/>
      <c r="U132" s="224" t="s">
        <v>160</v>
      </c>
      <c r="V132" s="144" t="s">
        <v>210</v>
      </c>
    </row>
    <row r="133" spans="4:22" hidden="1">
      <c r="E133" s="200">
        <v>7</v>
      </c>
      <c r="F133" s="200" t="s">
        <v>1566</v>
      </c>
      <c r="G133" s="200" t="s">
        <v>151</v>
      </c>
      <c r="H133" s="278" t="s">
        <v>2309</v>
      </c>
      <c r="I133" s="247" t="s">
        <v>797</v>
      </c>
      <c r="J133" s="247">
        <v>43087018</v>
      </c>
      <c r="K133" s="200" t="s">
        <v>1191</v>
      </c>
      <c r="L133" s="191"/>
      <c r="M133" s="238"/>
      <c r="N133" s="200" t="s">
        <v>1588</v>
      </c>
      <c r="O133" s="247"/>
      <c r="P133" s="248"/>
      <c r="Q133" s="200" t="s">
        <v>1670</v>
      </c>
      <c r="R133" s="234"/>
      <c r="S133" s="235" t="s">
        <v>1585</v>
      </c>
      <c r="T133" s="200"/>
      <c r="U133" s="224" t="s">
        <v>160</v>
      </c>
      <c r="V133" s="144" t="s">
        <v>210</v>
      </c>
    </row>
    <row r="134" spans="4:22">
      <c r="D134" s="761" t="s">
        <v>2289</v>
      </c>
      <c r="E134" s="755">
        <v>7</v>
      </c>
      <c r="F134" s="755" t="s">
        <v>1566</v>
      </c>
      <c r="G134" s="755" t="s">
        <v>129</v>
      </c>
      <c r="H134" s="831" t="s">
        <v>1668</v>
      </c>
      <c r="I134" s="827" t="s">
        <v>806</v>
      </c>
      <c r="J134" s="827"/>
      <c r="K134" s="755" t="s">
        <v>1187</v>
      </c>
      <c r="L134" s="765"/>
      <c r="M134" s="757"/>
      <c r="N134" s="755" t="s">
        <v>1588</v>
      </c>
      <c r="O134" s="827">
        <v>3156320270</v>
      </c>
      <c r="P134" s="826"/>
      <c r="Q134" s="755" t="s">
        <v>1669</v>
      </c>
      <c r="R134" s="821"/>
      <c r="S134" s="822" t="s">
        <v>1585</v>
      </c>
      <c r="T134" s="755"/>
      <c r="U134" s="760" t="s">
        <v>166</v>
      </c>
      <c r="V134" s="761" t="s">
        <v>210</v>
      </c>
    </row>
    <row r="135" spans="4:22" hidden="1">
      <c r="E135" s="195">
        <v>7</v>
      </c>
      <c r="F135" s="195" t="s">
        <v>1566</v>
      </c>
      <c r="G135" s="195" t="s">
        <v>129</v>
      </c>
      <c r="H135" s="252" t="s">
        <v>1668</v>
      </c>
      <c r="I135" s="253" t="s">
        <v>798</v>
      </c>
      <c r="J135" s="253">
        <v>43826305</v>
      </c>
      <c r="K135" s="195" t="s">
        <v>1191</v>
      </c>
      <c r="L135" s="177"/>
      <c r="M135" s="239"/>
      <c r="N135" s="195" t="s">
        <v>1588</v>
      </c>
      <c r="O135" s="253">
        <v>3206228333</v>
      </c>
      <c r="P135" s="252" t="s">
        <v>799</v>
      </c>
      <c r="Q135" s="195" t="s">
        <v>1669</v>
      </c>
      <c r="R135" s="236"/>
      <c r="S135" s="237" t="s">
        <v>1585</v>
      </c>
      <c r="T135" s="195"/>
      <c r="U135" s="221" t="s">
        <v>160</v>
      </c>
      <c r="V135" s="144" t="s">
        <v>210</v>
      </c>
    </row>
    <row r="136" spans="4:22" hidden="1">
      <c r="E136" s="195">
        <v>7</v>
      </c>
      <c r="F136" s="195" t="s">
        <v>1566</v>
      </c>
      <c r="G136" s="195" t="s">
        <v>129</v>
      </c>
      <c r="H136" s="252" t="s">
        <v>1668</v>
      </c>
      <c r="I136" s="253" t="s">
        <v>800</v>
      </c>
      <c r="J136" s="253">
        <v>1017210928</v>
      </c>
      <c r="K136" s="195" t="s">
        <v>1191</v>
      </c>
      <c r="L136" s="177"/>
      <c r="M136" s="239"/>
      <c r="N136" s="195" t="s">
        <v>1588</v>
      </c>
      <c r="O136" s="253">
        <v>3008087198</v>
      </c>
      <c r="P136" s="205" t="s">
        <v>1917</v>
      </c>
      <c r="Q136" s="195" t="s">
        <v>1669</v>
      </c>
      <c r="R136" s="236"/>
      <c r="S136" s="237" t="s">
        <v>1585</v>
      </c>
      <c r="T136" s="195"/>
      <c r="U136" s="221" t="s">
        <v>160</v>
      </c>
      <c r="V136" s="144" t="s">
        <v>210</v>
      </c>
    </row>
    <row r="137" spans="4:22" hidden="1">
      <c r="E137" s="195">
        <v>7</v>
      </c>
      <c r="F137" s="195" t="s">
        <v>1566</v>
      </c>
      <c r="G137" s="195" t="s">
        <v>129</v>
      </c>
      <c r="H137" s="252" t="s">
        <v>1668</v>
      </c>
      <c r="I137" s="253" t="s">
        <v>801</v>
      </c>
      <c r="J137" s="253">
        <v>43604926</v>
      </c>
      <c r="K137" s="195" t="s">
        <v>1191</v>
      </c>
      <c r="L137" s="177"/>
      <c r="M137" s="239"/>
      <c r="N137" s="195" t="s">
        <v>1588</v>
      </c>
      <c r="O137" s="253">
        <v>3047783868</v>
      </c>
      <c r="P137" s="252"/>
      <c r="Q137" s="195" t="s">
        <v>1669</v>
      </c>
      <c r="R137" s="236"/>
      <c r="S137" s="237" t="s">
        <v>1585</v>
      </c>
      <c r="T137" s="195"/>
      <c r="U137" s="221" t="s">
        <v>160</v>
      </c>
      <c r="V137" s="144" t="s">
        <v>210</v>
      </c>
    </row>
    <row r="138" spans="4:22" hidden="1">
      <c r="E138" s="195">
        <v>7</v>
      </c>
      <c r="F138" s="195" t="s">
        <v>1566</v>
      </c>
      <c r="G138" s="195" t="s">
        <v>129</v>
      </c>
      <c r="H138" s="252" t="s">
        <v>1668</v>
      </c>
      <c r="I138" s="253" t="s">
        <v>802</v>
      </c>
      <c r="J138" s="253">
        <v>43531535</v>
      </c>
      <c r="K138" s="195" t="s">
        <v>1191</v>
      </c>
      <c r="L138" s="177"/>
      <c r="M138" s="239"/>
      <c r="N138" s="195" t="s">
        <v>1588</v>
      </c>
      <c r="O138" s="253">
        <v>3126391673</v>
      </c>
      <c r="P138" s="252" t="s">
        <v>803</v>
      </c>
      <c r="Q138" s="195" t="s">
        <v>1669</v>
      </c>
      <c r="R138" s="236"/>
      <c r="S138" s="237" t="s">
        <v>1585</v>
      </c>
      <c r="T138" s="195"/>
      <c r="U138" s="221" t="s">
        <v>160</v>
      </c>
      <c r="V138" s="144" t="s">
        <v>210</v>
      </c>
    </row>
    <row r="139" spans="4:22" hidden="1">
      <c r="E139" s="195">
        <v>7</v>
      </c>
      <c r="F139" s="195" t="s">
        <v>1566</v>
      </c>
      <c r="G139" s="195" t="s">
        <v>129</v>
      </c>
      <c r="H139" s="252" t="s">
        <v>1668</v>
      </c>
      <c r="I139" s="253" t="s">
        <v>804</v>
      </c>
      <c r="J139" s="253">
        <v>71604890</v>
      </c>
      <c r="K139" s="195" t="s">
        <v>1187</v>
      </c>
      <c r="L139" s="177"/>
      <c r="M139" s="239"/>
      <c r="N139" s="195" t="s">
        <v>1588</v>
      </c>
      <c r="O139" s="253">
        <v>3116398339</v>
      </c>
      <c r="P139" s="252" t="s">
        <v>805</v>
      </c>
      <c r="Q139" s="195" t="s">
        <v>1669</v>
      </c>
      <c r="R139" s="236"/>
      <c r="S139" s="237" t="s">
        <v>1585</v>
      </c>
      <c r="T139" s="195"/>
      <c r="U139" s="221" t="s">
        <v>160</v>
      </c>
      <c r="V139" s="144" t="s">
        <v>210</v>
      </c>
    </row>
  </sheetData>
  <phoneticPr fontId="41" type="noConversion"/>
  <dataValidations count="7">
    <dataValidation type="list" allowBlank="1" showInputMessage="1" showErrorMessage="1" sqref="G3:G139" xr:uid="{C17C8CF5-1D74-4661-8C08-769C948D3ACA}">
      <formula1>$A$1:$A$3</formula1>
    </dataValidation>
    <dataValidation type="list" allowBlank="1" showInputMessage="1" showErrorMessage="1" sqref="K3:K139" xr:uid="{D3236293-6534-4330-9A9D-4C25CCCF5568}">
      <formula1>$A$4:$A$7</formula1>
    </dataValidation>
    <dataValidation type="list" allowBlank="1" showInputMessage="1" showErrorMessage="1" sqref="N3:N139" xr:uid="{B8ADF375-6C7D-4822-AC63-AC05A532B6E0}">
      <formula1>$A$8:$A$17</formula1>
    </dataValidation>
    <dataValidation type="list" allowBlank="1" showInputMessage="1" showErrorMessage="1" sqref="U3:U139" xr:uid="{27556C7A-7415-416D-AB05-DE1AE9A02230}">
      <formula1>$A$18:$A$20</formula1>
    </dataValidation>
    <dataValidation type="list" allowBlank="1" showInputMessage="1" showErrorMessage="1" sqref="Q3:Q139" xr:uid="{140BAD77-B554-4F4D-B211-8781E1C3F2A7}">
      <formula1>$A$21:$A$46</formula1>
    </dataValidation>
    <dataValidation type="list" allowBlank="1" showInputMessage="1" showErrorMessage="1" sqref="R3:R139" xr:uid="{6B23AE97-16CC-4A27-890F-51947F6C6196}">
      <formula1>$B$5:$B$11</formula1>
    </dataValidation>
    <dataValidation type="list" allowBlank="1" showInputMessage="1" showErrorMessage="1" sqref="S3:S139" xr:uid="{43DD2BD1-59E5-42DF-B541-9D1E528DF026}">
      <formula1>$B$13:$B$39</formula1>
    </dataValidation>
  </dataValidations>
  <hyperlinks>
    <hyperlink ref="P11" r:id="rId1" xr:uid="{EBE1C98A-3F8F-47FA-B79D-1606AD74E9FC}"/>
    <hyperlink ref="P12" r:id="rId2" xr:uid="{7541CF2E-6549-491D-A539-AEFDA092AE87}"/>
    <hyperlink ref="P15" r:id="rId3" xr:uid="{1C5BDFBB-3B7C-4680-99C0-03CBC98EFF58}"/>
    <hyperlink ref="P13" r:id="rId4" xr:uid="{43FC7971-95D7-46C7-BDCA-629C7C9F61DB}"/>
    <hyperlink ref="P17" r:id="rId5" xr:uid="{201376B9-198B-47B6-B983-F1DE7A0B6719}"/>
    <hyperlink ref="P22" r:id="rId6" xr:uid="{41F1F4A1-0166-49AC-A3DB-3F0BE56A6258}"/>
    <hyperlink ref="P23" r:id="rId7" xr:uid="{C7843311-D233-40E9-922E-C071A485EC41}"/>
    <hyperlink ref="P24" r:id="rId8" xr:uid="{2FCCC31E-D98B-481B-8143-3F413E491A35}"/>
    <hyperlink ref="P29" r:id="rId9" xr:uid="{6B1BA898-C22E-4D91-A8EF-9C9B65EBB447}"/>
    <hyperlink ref="P30" r:id="rId10" xr:uid="{527E3CF5-1765-4C7E-917C-BD9983774120}"/>
    <hyperlink ref="P34" r:id="rId11" xr:uid="{326A1332-1105-43D4-9E88-D6FAB676D24C}"/>
    <hyperlink ref="P38" r:id="rId12" xr:uid="{530E8C5C-9B76-48C0-A3CD-B9A683AD03C1}"/>
    <hyperlink ref="P39" r:id="rId13" xr:uid="{A37358A3-D3B2-421E-A5E8-9C5BBA45EB47}"/>
    <hyperlink ref="P40" r:id="rId14" xr:uid="{7BB3B12B-0C64-430B-9F05-E3AC7496B70C}"/>
    <hyperlink ref="P42" r:id="rId15" xr:uid="{DCD7408D-66E3-4231-BD6E-DC27D462A66B}"/>
    <hyperlink ref="P45" r:id="rId16" xr:uid="{EA880B13-D582-4C51-84DA-8F0A8C53A32F}"/>
    <hyperlink ref="P136" r:id="rId17" xr:uid="{60F7ECD8-1381-4D72-A768-DB1EB3E686EA}"/>
  </hyperlinks>
  <pageMargins left="0.7" right="0.7" top="0.75" bottom="0.75" header="0.3" footer="0.3"/>
  <tableParts count="1">
    <tablePart r:id="rId1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A6F0-2EA6-45C1-A69D-E7A71FFC47AC}">
  <dimension ref="A2:V294"/>
  <sheetViews>
    <sheetView topLeftCell="G1" zoomScale="55" zoomScaleNormal="55" workbookViewId="0">
      <selection activeCell="E3" sqref="E3:V228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4" width="13.109375" style="144" customWidth="1"/>
    <col min="5" max="5" width="11.6640625" style="144" bestFit="1" customWidth="1"/>
    <col min="6" max="6" width="19.6640625" style="144" customWidth="1"/>
    <col min="7" max="7" width="21.33203125" style="144" customWidth="1"/>
    <col min="8" max="8" width="38.33203125" style="144" customWidth="1"/>
    <col min="9" max="9" width="35.5546875" style="144" bestFit="1" customWidth="1"/>
    <col min="10" max="10" width="19.5546875" style="144" customWidth="1"/>
    <col min="11" max="11" width="11.5546875" style="144"/>
    <col min="12" max="12" width="23.6640625" style="144" customWidth="1"/>
    <col min="13" max="13" width="11.5546875" style="144"/>
    <col min="14" max="14" width="18.109375" style="144" customWidth="1"/>
    <col min="15" max="15" width="13.88671875" style="144" bestFit="1" customWidth="1"/>
    <col min="16" max="16" width="21.6640625" style="144" customWidth="1"/>
    <col min="17" max="17" width="34.88671875" style="144" bestFit="1" customWidth="1"/>
    <col min="18" max="18" width="13.5546875" style="144" customWidth="1"/>
    <col min="19" max="19" width="11.5546875" style="144"/>
    <col min="20" max="20" width="30.88671875" style="144" customWidth="1"/>
    <col min="21" max="21" width="29.664062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38" t="s">
        <v>1854</v>
      </c>
      <c r="G2" s="138" t="s">
        <v>1584</v>
      </c>
      <c r="H2" s="138" t="s">
        <v>418</v>
      </c>
      <c r="I2" s="138" t="s">
        <v>1410</v>
      </c>
      <c r="J2" s="138" t="s">
        <v>5</v>
      </c>
      <c r="K2" s="138" t="s">
        <v>6</v>
      </c>
      <c r="L2" s="138" t="s">
        <v>7</v>
      </c>
      <c r="M2" s="138" t="s">
        <v>8</v>
      </c>
      <c r="N2" s="138" t="s">
        <v>9</v>
      </c>
      <c r="O2" s="138" t="s">
        <v>1589</v>
      </c>
      <c r="P2" s="138" t="s">
        <v>11</v>
      </c>
      <c r="Q2" s="138" t="s">
        <v>12</v>
      </c>
      <c r="R2" s="138" t="s">
        <v>14</v>
      </c>
      <c r="S2" s="138" t="s">
        <v>16</v>
      </c>
      <c r="T2" s="138" t="s">
        <v>1590</v>
      </c>
      <c r="U2" s="151" t="s">
        <v>18</v>
      </c>
      <c r="V2" s="553" t="s">
        <v>20</v>
      </c>
    </row>
    <row r="3" spans="1:22">
      <c r="A3" s="144" t="s">
        <v>129</v>
      </c>
      <c r="D3" s="824" t="s">
        <v>2289</v>
      </c>
      <c r="E3" s="755">
        <v>8</v>
      </c>
      <c r="F3" s="755" t="s">
        <v>1567</v>
      </c>
      <c r="G3" s="755" t="s">
        <v>129</v>
      </c>
      <c r="H3" s="835" t="s">
        <v>807</v>
      </c>
      <c r="I3" s="835" t="s">
        <v>820</v>
      </c>
      <c r="J3" s="835">
        <v>1025766832</v>
      </c>
      <c r="K3" s="755" t="s">
        <v>1187</v>
      </c>
      <c r="L3" s="765">
        <v>40200</v>
      </c>
      <c r="M3" s="757">
        <f ca="1">DATEDIF(L3,TODAY(),"Y")</f>
        <v>16</v>
      </c>
      <c r="N3" s="755" t="s">
        <v>1588</v>
      </c>
      <c r="O3" s="835">
        <v>3026045007</v>
      </c>
      <c r="P3" s="835" t="s">
        <v>821</v>
      </c>
      <c r="Q3" s="755" t="s">
        <v>807</v>
      </c>
      <c r="R3" s="836" t="s">
        <v>192</v>
      </c>
      <c r="S3" s="837" t="s">
        <v>663</v>
      </c>
      <c r="T3" s="755"/>
      <c r="U3" s="760" t="s">
        <v>166</v>
      </c>
      <c r="V3" s="761" t="s">
        <v>210</v>
      </c>
    </row>
    <row r="4" spans="1:22">
      <c r="D4" s="289"/>
      <c r="E4" s="200">
        <v>8</v>
      </c>
      <c r="F4" s="200" t="s">
        <v>1567</v>
      </c>
      <c r="G4" s="200" t="s">
        <v>129</v>
      </c>
      <c r="H4" s="326" t="s">
        <v>807</v>
      </c>
      <c r="I4" s="326" t="s">
        <v>811</v>
      </c>
      <c r="J4" s="326">
        <v>1017198942</v>
      </c>
      <c r="K4" s="200" t="s">
        <v>1187</v>
      </c>
      <c r="L4" s="191">
        <v>33609</v>
      </c>
      <c r="M4" s="238">
        <f ca="1">DATEDIF(L4,TODAY(),"Y")</f>
        <v>34</v>
      </c>
      <c r="N4" s="200" t="s">
        <v>1588</v>
      </c>
      <c r="O4" s="326">
        <v>3023624331</v>
      </c>
      <c r="P4" s="326" t="s">
        <v>812</v>
      </c>
      <c r="Q4" s="200" t="s">
        <v>813</v>
      </c>
      <c r="R4" s="327" t="s">
        <v>333</v>
      </c>
      <c r="S4" s="328" t="s">
        <v>193</v>
      </c>
      <c r="T4" s="200"/>
      <c r="U4" s="224" t="s">
        <v>160</v>
      </c>
      <c r="V4" s="144" t="s">
        <v>210</v>
      </c>
    </row>
    <row r="5" spans="1:22">
      <c r="A5" s="144" t="s">
        <v>1191</v>
      </c>
      <c r="B5" s="144" t="s">
        <v>333</v>
      </c>
      <c r="D5" s="289"/>
      <c r="E5" s="200">
        <v>8</v>
      </c>
      <c r="F5" s="200" t="s">
        <v>1567</v>
      </c>
      <c r="G5" s="200" t="s">
        <v>129</v>
      </c>
      <c r="H5" s="326" t="s">
        <v>807</v>
      </c>
      <c r="I5" s="326" t="s">
        <v>814</v>
      </c>
      <c r="J5" s="326">
        <v>1020425777</v>
      </c>
      <c r="K5" s="200" t="s">
        <v>1187</v>
      </c>
      <c r="L5" s="191">
        <v>39340</v>
      </c>
      <c r="M5" s="238">
        <f t="shared" ref="M5:M33" ca="1" si="0">DATEDIF(L5,TODAY(),"Y")</f>
        <v>18</v>
      </c>
      <c r="N5" s="200" t="s">
        <v>1588</v>
      </c>
      <c r="O5" s="326">
        <v>3242948935</v>
      </c>
      <c r="P5" s="326" t="s">
        <v>815</v>
      </c>
      <c r="Q5" s="200" t="s">
        <v>807</v>
      </c>
      <c r="R5" s="327" t="s">
        <v>192</v>
      </c>
      <c r="S5" s="328" t="s">
        <v>663</v>
      </c>
      <c r="T5" s="200"/>
      <c r="U5" s="224" t="s">
        <v>160</v>
      </c>
      <c r="V5" s="144" t="s">
        <v>210</v>
      </c>
    </row>
    <row r="6" spans="1:22">
      <c r="A6" s="144" t="s">
        <v>1187</v>
      </c>
      <c r="B6" s="144" t="s">
        <v>164</v>
      </c>
      <c r="D6" s="289"/>
      <c r="E6" s="200">
        <v>8</v>
      </c>
      <c r="F6" s="200" t="s">
        <v>1567</v>
      </c>
      <c r="G6" s="200" t="s">
        <v>129</v>
      </c>
      <c r="H6" s="326" t="s">
        <v>807</v>
      </c>
      <c r="I6" s="326" t="s">
        <v>816</v>
      </c>
      <c r="J6" s="326">
        <v>1128403053</v>
      </c>
      <c r="K6" s="200" t="s">
        <v>1187</v>
      </c>
      <c r="L6" s="191">
        <v>33172</v>
      </c>
      <c r="M6" s="238">
        <f t="shared" ca="1" si="0"/>
        <v>35</v>
      </c>
      <c r="N6" s="200" t="s">
        <v>1588</v>
      </c>
      <c r="O6" s="326">
        <v>3001925397</v>
      </c>
      <c r="P6" s="326" t="s">
        <v>817</v>
      </c>
      <c r="Q6" s="200" t="s">
        <v>813</v>
      </c>
      <c r="R6" s="327" t="s">
        <v>333</v>
      </c>
      <c r="S6" s="328" t="s">
        <v>193</v>
      </c>
      <c r="T6" s="200"/>
      <c r="U6" s="224" t="s">
        <v>160</v>
      </c>
      <c r="V6" s="144" t="s">
        <v>210</v>
      </c>
    </row>
    <row r="7" spans="1:22">
      <c r="A7" s="144" t="s">
        <v>1585</v>
      </c>
      <c r="B7" s="144" t="s">
        <v>321</v>
      </c>
      <c r="D7" s="289"/>
      <c r="E7" s="200">
        <v>8</v>
      </c>
      <c r="F7" s="200" t="s">
        <v>1567</v>
      </c>
      <c r="G7" s="200" t="s">
        <v>129</v>
      </c>
      <c r="H7" s="326" t="s">
        <v>807</v>
      </c>
      <c r="I7" s="326" t="s">
        <v>818</v>
      </c>
      <c r="J7" s="326">
        <v>71267003</v>
      </c>
      <c r="K7" s="200" t="s">
        <v>1187</v>
      </c>
      <c r="L7" s="191">
        <v>30210</v>
      </c>
      <c r="M7" s="238">
        <f t="shared" ca="1" si="0"/>
        <v>43</v>
      </c>
      <c r="N7" s="200" t="s">
        <v>1588</v>
      </c>
      <c r="O7" s="326">
        <v>3052603216</v>
      </c>
      <c r="P7" s="326" t="s">
        <v>819</v>
      </c>
      <c r="Q7" s="200" t="s">
        <v>813</v>
      </c>
      <c r="R7" s="327" t="s">
        <v>333</v>
      </c>
      <c r="S7" s="328" t="s">
        <v>1585</v>
      </c>
      <c r="T7" s="200"/>
      <c r="U7" s="224" t="s">
        <v>160</v>
      </c>
      <c r="V7" s="144" t="s">
        <v>210</v>
      </c>
    </row>
    <row r="8" spans="1:22">
      <c r="B8" s="144" t="s">
        <v>192</v>
      </c>
      <c r="D8" s="289"/>
      <c r="E8" s="200">
        <v>8</v>
      </c>
      <c r="F8" s="200" t="s">
        <v>1567</v>
      </c>
      <c r="G8" s="200" t="s">
        <v>129</v>
      </c>
      <c r="H8" s="326" t="s">
        <v>807</v>
      </c>
      <c r="I8" s="326" t="s">
        <v>808</v>
      </c>
      <c r="J8" s="326">
        <v>1017229390</v>
      </c>
      <c r="K8" s="200" t="s">
        <v>1187</v>
      </c>
      <c r="L8" s="191">
        <v>34750</v>
      </c>
      <c r="M8" s="238">
        <f ca="1">DATEDIF(L8,TODAY(),"Y")</f>
        <v>31</v>
      </c>
      <c r="N8" s="200" t="s">
        <v>1588</v>
      </c>
      <c r="O8" s="326">
        <v>3175872113</v>
      </c>
      <c r="P8" s="326" t="s">
        <v>809</v>
      </c>
      <c r="Q8" s="200" t="s">
        <v>810</v>
      </c>
      <c r="R8" s="327" t="s">
        <v>333</v>
      </c>
      <c r="S8" s="328" t="s">
        <v>663</v>
      </c>
      <c r="T8" s="200"/>
      <c r="U8" s="224" t="s">
        <v>160</v>
      </c>
      <c r="V8" s="144" t="s">
        <v>210</v>
      </c>
    </row>
    <row r="9" spans="1:22">
      <c r="A9" s="144" t="s">
        <v>56</v>
      </c>
      <c r="B9" s="144" t="s">
        <v>876</v>
      </c>
      <c r="D9" s="824" t="s">
        <v>2289</v>
      </c>
      <c r="E9" s="755">
        <v>8</v>
      </c>
      <c r="F9" s="755" t="s">
        <v>1567</v>
      </c>
      <c r="G9" s="755" t="s">
        <v>129</v>
      </c>
      <c r="H9" s="835" t="s">
        <v>822</v>
      </c>
      <c r="I9" s="835" t="s">
        <v>823</v>
      </c>
      <c r="J9" s="835">
        <v>71611347</v>
      </c>
      <c r="K9" s="755" t="s">
        <v>1187</v>
      </c>
      <c r="L9" s="765"/>
      <c r="M9" s="757"/>
      <c r="N9" s="755" t="s">
        <v>1588</v>
      </c>
      <c r="O9" s="835">
        <v>3044671173</v>
      </c>
      <c r="P9" s="755"/>
      <c r="Q9" s="755" t="s">
        <v>807</v>
      </c>
      <c r="R9" s="836" t="s">
        <v>1585</v>
      </c>
      <c r="S9" s="837" t="s">
        <v>663</v>
      </c>
      <c r="T9" s="755"/>
      <c r="U9" s="760" t="s">
        <v>166</v>
      </c>
      <c r="V9" s="761" t="s">
        <v>210</v>
      </c>
    </row>
    <row r="10" spans="1:22">
      <c r="A10" s="144" t="s">
        <v>212</v>
      </c>
      <c r="B10" s="144" t="s">
        <v>891</v>
      </c>
      <c r="D10" s="289"/>
      <c r="E10" s="195">
        <v>8</v>
      </c>
      <c r="F10" s="195" t="s">
        <v>1567</v>
      </c>
      <c r="G10" s="195" t="s">
        <v>129</v>
      </c>
      <c r="H10" s="329" t="s">
        <v>822</v>
      </c>
      <c r="I10" s="329" t="s">
        <v>824</v>
      </c>
      <c r="J10" s="329">
        <v>7042037</v>
      </c>
      <c r="K10" s="195" t="s">
        <v>1187</v>
      </c>
      <c r="L10" s="177"/>
      <c r="M10" s="239"/>
      <c r="N10" s="195" t="s">
        <v>1588</v>
      </c>
      <c r="O10" s="329">
        <v>3135369565</v>
      </c>
      <c r="P10" s="195"/>
      <c r="Q10" s="195" t="s">
        <v>807</v>
      </c>
      <c r="R10" s="330" t="s">
        <v>1585</v>
      </c>
      <c r="S10" s="331" t="s">
        <v>461</v>
      </c>
      <c r="T10" s="195"/>
      <c r="U10" s="221" t="s">
        <v>160</v>
      </c>
      <c r="V10" s="144" t="s">
        <v>210</v>
      </c>
    </row>
    <row r="11" spans="1:22">
      <c r="A11" s="144" t="s">
        <v>73</v>
      </c>
      <c r="B11" s="144" t="s">
        <v>1585</v>
      </c>
      <c r="D11" s="289"/>
      <c r="E11" s="195">
        <v>8</v>
      </c>
      <c r="F11" s="195" t="s">
        <v>1567</v>
      </c>
      <c r="G11" s="195" t="s">
        <v>129</v>
      </c>
      <c r="H11" s="329" t="s">
        <v>822</v>
      </c>
      <c r="I11" s="329" t="s">
        <v>825</v>
      </c>
      <c r="J11" s="329">
        <v>78692201</v>
      </c>
      <c r="K11" s="195" t="s">
        <v>1187</v>
      </c>
      <c r="L11" s="177"/>
      <c r="M11" s="239"/>
      <c r="N11" s="195" t="s">
        <v>1588</v>
      </c>
      <c r="O11" s="329">
        <v>3134604663</v>
      </c>
      <c r="P11" s="195"/>
      <c r="Q11" s="195" t="s">
        <v>807</v>
      </c>
      <c r="R11" s="330" t="s">
        <v>1585</v>
      </c>
      <c r="S11" s="331" t="s">
        <v>1585</v>
      </c>
      <c r="T11" s="195"/>
      <c r="U11" s="221" t="s">
        <v>160</v>
      </c>
      <c r="V11" s="144" t="s">
        <v>210</v>
      </c>
    </row>
    <row r="12" spans="1:22">
      <c r="A12" s="144" t="s">
        <v>272</v>
      </c>
      <c r="D12" s="824" t="s">
        <v>2289</v>
      </c>
      <c r="E12" s="755">
        <v>8</v>
      </c>
      <c r="F12" s="755" t="s">
        <v>1567</v>
      </c>
      <c r="G12" s="755" t="s">
        <v>129</v>
      </c>
      <c r="H12" s="835" t="s">
        <v>826</v>
      </c>
      <c r="I12" s="835" t="s">
        <v>829</v>
      </c>
      <c r="J12" s="835">
        <v>43542313</v>
      </c>
      <c r="K12" s="755" t="s">
        <v>1191</v>
      </c>
      <c r="L12" s="765">
        <v>25420</v>
      </c>
      <c r="M12" s="757">
        <f ca="1">DATEDIF(L12,TODAY(),"Y")</f>
        <v>56</v>
      </c>
      <c r="N12" s="755" t="s">
        <v>1588</v>
      </c>
      <c r="O12" s="835">
        <v>3315171672</v>
      </c>
      <c r="P12" s="835" t="s">
        <v>830</v>
      </c>
      <c r="Q12" s="755" t="s">
        <v>813</v>
      </c>
      <c r="R12" s="836" t="s">
        <v>164</v>
      </c>
      <c r="S12" s="837" t="s">
        <v>193</v>
      </c>
      <c r="T12" s="835"/>
      <c r="U12" s="760" t="s">
        <v>166</v>
      </c>
      <c r="V12" s="761" t="s">
        <v>210</v>
      </c>
    </row>
    <row r="13" spans="1:22">
      <c r="A13" s="144" t="s">
        <v>114</v>
      </c>
      <c r="B13" s="325" t="s">
        <v>461</v>
      </c>
      <c r="C13" s="325"/>
      <c r="D13" s="289"/>
      <c r="E13" s="196">
        <v>8</v>
      </c>
      <c r="F13" s="196" t="s">
        <v>1567</v>
      </c>
      <c r="G13" s="196" t="s">
        <v>129</v>
      </c>
      <c r="H13" s="332" t="s">
        <v>826</v>
      </c>
      <c r="I13" s="332" t="s">
        <v>827</v>
      </c>
      <c r="J13" s="332">
        <v>1001140379</v>
      </c>
      <c r="K13" s="196" t="s">
        <v>1191</v>
      </c>
      <c r="L13" s="178">
        <v>37216</v>
      </c>
      <c r="M13" s="283">
        <f ca="1">DATEDIF(L13,TODAY(),"Y")</f>
        <v>24</v>
      </c>
      <c r="N13" s="196" t="s">
        <v>1588</v>
      </c>
      <c r="O13" s="332">
        <v>3043257299</v>
      </c>
      <c r="P13" s="332" t="s">
        <v>828</v>
      </c>
      <c r="Q13" s="196" t="s">
        <v>813</v>
      </c>
      <c r="R13" s="334" t="s">
        <v>333</v>
      </c>
      <c r="S13" s="335" t="s">
        <v>663</v>
      </c>
      <c r="T13" s="332"/>
      <c r="U13" s="222" t="s">
        <v>160</v>
      </c>
      <c r="V13" s="144" t="s">
        <v>210</v>
      </c>
    </row>
    <row r="14" spans="1:22">
      <c r="A14" s="144" t="s">
        <v>1586</v>
      </c>
      <c r="B14" s="325" t="s">
        <v>663</v>
      </c>
      <c r="C14" s="325"/>
      <c r="D14" s="289"/>
      <c r="E14" s="196">
        <v>8</v>
      </c>
      <c r="F14" s="196" t="s">
        <v>1567</v>
      </c>
      <c r="G14" s="196" t="s">
        <v>129</v>
      </c>
      <c r="H14" s="332" t="s">
        <v>826</v>
      </c>
      <c r="I14" s="332" t="s">
        <v>831</v>
      </c>
      <c r="J14" s="332">
        <v>1152464578</v>
      </c>
      <c r="K14" s="196" t="s">
        <v>1191</v>
      </c>
      <c r="L14" s="178">
        <v>35740</v>
      </c>
      <c r="M14" s="283">
        <f t="shared" ca="1" si="0"/>
        <v>28</v>
      </c>
      <c r="N14" s="196" t="s">
        <v>1588</v>
      </c>
      <c r="O14" s="332">
        <v>3006422910</v>
      </c>
      <c r="P14" s="332" t="s">
        <v>832</v>
      </c>
      <c r="Q14" s="196" t="s">
        <v>813</v>
      </c>
      <c r="R14" s="334" t="s">
        <v>333</v>
      </c>
      <c r="S14" s="335" t="s">
        <v>663</v>
      </c>
      <c r="T14" s="332"/>
      <c r="U14" s="222" t="s">
        <v>160</v>
      </c>
      <c r="V14" s="144" t="s">
        <v>210</v>
      </c>
    </row>
    <row r="15" spans="1:22">
      <c r="A15" s="144" t="s">
        <v>227</v>
      </c>
      <c r="B15" s="325" t="s">
        <v>170</v>
      </c>
      <c r="C15" s="325"/>
      <c r="D15" s="289"/>
      <c r="E15" s="196">
        <v>8</v>
      </c>
      <c r="F15" s="196" t="s">
        <v>1567</v>
      </c>
      <c r="G15" s="196" t="s">
        <v>129</v>
      </c>
      <c r="H15" s="332" t="s">
        <v>826</v>
      </c>
      <c r="I15" s="332" t="s">
        <v>833</v>
      </c>
      <c r="J15" s="332">
        <v>1000872669</v>
      </c>
      <c r="K15" s="196" t="s">
        <v>1187</v>
      </c>
      <c r="L15" s="178">
        <v>37594</v>
      </c>
      <c r="M15" s="283">
        <f t="shared" ca="1" si="0"/>
        <v>23</v>
      </c>
      <c r="N15" s="196" t="s">
        <v>1588</v>
      </c>
      <c r="O15" s="332">
        <v>3003092197</v>
      </c>
      <c r="P15" s="332" t="s">
        <v>834</v>
      </c>
      <c r="Q15" s="196" t="s">
        <v>813</v>
      </c>
      <c r="R15" s="334" t="s">
        <v>333</v>
      </c>
      <c r="S15" s="335" t="s">
        <v>663</v>
      </c>
      <c r="T15" s="332"/>
      <c r="U15" s="222" t="s">
        <v>160</v>
      </c>
      <c r="V15" s="144" t="s">
        <v>210</v>
      </c>
    </row>
    <row r="16" spans="1:22">
      <c r="A16" s="144" t="s">
        <v>1587</v>
      </c>
      <c r="B16" s="325" t="s">
        <v>193</v>
      </c>
      <c r="C16" s="325"/>
      <c r="D16" s="289"/>
      <c r="E16" s="196">
        <v>8</v>
      </c>
      <c r="F16" s="196" t="s">
        <v>1567</v>
      </c>
      <c r="G16" s="196" t="s">
        <v>129</v>
      </c>
      <c r="H16" s="332" t="s">
        <v>826</v>
      </c>
      <c r="I16" s="332" t="s">
        <v>835</v>
      </c>
      <c r="J16" s="332">
        <v>42998166</v>
      </c>
      <c r="K16" s="196" t="s">
        <v>1191</v>
      </c>
      <c r="L16" s="178">
        <v>21690</v>
      </c>
      <c r="M16" s="283">
        <f t="shared" ca="1" si="0"/>
        <v>66</v>
      </c>
      <c r="N16" s="196" t="s">
        <v>1588</v>
      </c>
      <c r="O16" s="332">
        <v>3023054871</v>
      </c>
      <c r="P16" s="332" t="s">
        <v>836</v>
      </c>
      <c r="Q16" s="196" t="s">
        <v>813</v>
      </c>
      <c r="R16" s="334" t="s">
        <v>891</v>
      </c>
      <c r="S16" s="335" t="s">
        <v>663</v>
      </c>
      <c r="T16" s="332"/>
      <c r="U16" s="222" t="s">
        <v>160</v>
      </c>
      <c r="V16" s="144" t="s">
        <v>210</v>
      </c>
    </row>
    <row r="17" spans="1:22">
      <c r="A17" s="144" t="s">
        <v>1588</v>
      </c>
      <c r="B17" s="325" t="s">
        <v>1881</v>
      </c>
      <c r="C17" s="325"/>
      <c r="D17" s="289"/>
      <c r="E17" s="196">
        <v>8</v>
      </c>
      <c r="F17" s="196" t="s">
        <v>1567</v>
      </c>
      <c r="G17" s="196" t="s">
        <v>129</v>
      </c>
      <c r="H17" s="332" t="s">
        <v>826</v>
      </c>
      <c r="I17" s="332" t="s">
        <v>837</v>
      </c>
      <c r="J17" s="332">
        <v>1036652730</v>
      </c>
      <c r="K17" s="196" t="s">
        <v>1187</v>
      </c>
      <c r="L17" s="178">
        <v>34481</v>
      </c>
      <c r="M17" s="283">
        <f t="shared" ca="1" si="0"/>
        <v>31</v>
      </c>
      <c r="N17" s="196" t="s">
        <v>1588</v>
      </c>
      <c r="O17" s="332">
        <v>3105218963</v>
      </c>
      <c r="P17" s="332" t="s">
        <v>838</v>
      </c>
      <c r="Q17" s="196" t="s">
        <v>813</v>
      </c>
      <c r="R17" s="334" t="s">
        <v>333</v>
      </c>
      <c r="S17" s="335" t="s">
        <v>461</v>
      </c>
      <c r="T17" s="332"/>
      <c r="U17" s="222" t="s">
        <v>160</v>
      </c>
      <c r="V17" s="144" t="s">
        <v>210</v>
      </c>
    </row>
    <row r="18" spans="1:22">
      <c r="B18" s="325" t="s">
        <v>1882</v>
      </c>
      <c r="C18" s="325"/>
      <c r="D18" s="289"/>
      <c r="E18" s="196">
        <v>8</v>
      </c>
      <c r="F18" s="196" t="s">
        <v>1567</v>
      </c>
      <c r="G18" s="196" t="s">
        <v>129</v>
      </c>
      <c r="H18" s="332" t="s">
        <v>826</v>
      </c>
      <c r="I18" s="332" t="s">
        <v>839</v>
      </c>
      <c r="J18" s="332">
        <v>1036662569</v>
      </c>
      <c r="K18" s="196" t="s">
        <v>1187</v>
      </c>
      <c r="L18" s="178">
        <v>34674</v>
      </c>
      <c r="M18" s="283">
        <f t="shared" ca="1" si="0"/>
        <v>31</v>
      </c>
      <c r="N18" s="196" t="s">
        <v>1588</v>
      </c>
      <c r="O18" s="332">
        <v>3014625836</v>
      </c>
      <c r="P18" s="332" t="s">
        <v>840</v>
      </c>
      <c r="Q18" s="196" t="s">
        <v>807</v>
      </c>
      <c r="R18" s="334" t="s">
        <v>333</v>
      </c>
      <c r="S18" s="335" t="s">
        <v>663</v>
      </c>
      <c r="T18" s="332"/>
      <c r="U18" s="222" t="s">
        <v>160</v>
      </c>
      <c r="V18" s="144" t="s">
        <v>210</v>
      </c>
    </row>
    <row r="19" spans="1:22">
      <c r="A19" s="144" t="s">
        <v>160</v>
      </c>
      <c r="B19" s="325" t="s">
        <v>405</v>
      </c>
      <c r="C19" s="325"/>
      <c r="D19" s="289"/>
      <c r="E19" s="196">
        <v>8</v>
      </c>
      <c r="F19" s="196" t="s">
        <v>1567</v>
      </c>
      <c r="G19" s="196" t="s">
        <v>129</v>
      </c>
      <c r="H19" s="332" t="s">
        <v>826</v>
      </c>
      <c r="I19" s="332" t="s">
        <v>841</v>
      </c>
      <c r="J19" s="332">
        <v>1020105463</v>
      </c>
      <c r="K19" s="196" t="s">
        <v>1187</v>
      </c>
      <c r="L19" s="178">
        <v>38217</v>
      </c>
      <c r="M19" s="283">
        <f t="shared" ca="1" si="0"/>
        <v>21</v>
      </c>
      <c r="N19" s="196" t="s">
        <v>1588</v>
      </c>
      <c r="O19" s="332">
        <v>3005744685</v>
      </c>
      <c r="P19" s="332" t="s">
        <v>842</v>
      </c>
      <c r="Q19" s="196" t="s">
        <v>813</v>
      </c>
      <c r="R19" s="334" t="s">
        <v>333</v>
      </c>
      <c r="S19" s="335" t="s">
        <v>663</v>
      </c>
      <c r="T19" s="332"/>
      <c r="U19" s="222" t="s">
        <v>160</v>
      </c>
      <c r="V19" s="144" t="s">
        <v>210</v>
      </c>
    </row>
    <row r="20" spans="1:22">
      <c r="A20" s="144" t="s">
        <v>166</v>
      </c>
      <c r="B20" s="325" t="s">
        <v>1883</v>
      </c>
      <c r="C20" s="325"/>
      <c r="D20" s="289"/>
      <c r="E20" s="196">
        <v>8</v>
      </c>
      <c r="F20" s="196" t="s">
        <v>1567</v>
      </c>
      <c r="G20" s="196" t="s">
        <v>129</v>
      </c>
      <c r="H20" s="332" t="s">
        <v>826</v>
      </c>
      <c r="I20" s="332" t="s">
        <v>843</v>
      </c>
      <c r="J20" s="332">
        <v>1043143146</v>
      </c>
      <c r="K20" s="196" t="s">
        <v>1191</v>
      </c>
      <c r="L20" s="178">
        <v>39417</v>
      </c>
      <c r="M20" s="283">
        <f t="shared" ca="1" si="0"/>
        <v>18</v>
      </c>
      <c r="N20" s="196" t="s">
        <v>1588</v>
      </c>
      <c r="O20" s="332">
        <v>3244791956</v>
      </c>
      <c r="P20" s="332" t="s">
        <v>844</v>
      </c>
      <c r="Q20" s="196" t="s">
        <v>813</v>
      </c>
      <c r="R20" s="334" t="s">
        <v>192</v>
      </c>
      <c r="S20" s="335" t="s">
        <v>663</v>
      </c>
      <c r="T20" s="332"/>
      <c r="U20" s="222" t="s">
        <v>160</v>
      </c>
      <c r="V20" s="144" t="s">
        <v>210</v>
      </c>
    </row>
    <row r="21" spans="1:22">
      <c r="B21" s="325" t="s">
        <v>230</v>
      </c>
      <c r="C21" s="325"/>
      <c r="D21" s="289"/>
      <c r="E21" s="196">
        <v>8</v>
      </c>
      <c r="F21" s="196" t="s">
        <v>1567</v>
      </c>
      <c r="G21" s="196" t="s">
        <v>129</v>
      </c>
      <c r="H21" s="332" t="s">
        <v>826</v>
      </c>
      <c r="I21" s="332" t="s">
        <v>845</v>
      </c>
      <c r="J21" s="332">
        <v>1037622243</v>
      </c>
      <c r="K21" s="196" t="s">
        <v>1187</v>
      </c>
      <c r="L21" s="178">
        <v>33678</v>
      </c>
      <c r="M21" s="283">
        <f t="shared" ca="1" si="0"/>
        <v>34</v>
      </c>
      <c r="N21" s="196" t="s">
        <v>1588</v>
      </c>
      <c r="O21" s="332">
        <v>3022172443</v>
      </c>
      <c r="P21" s="332" t="s">
        <v>846</v>
      </c>
      <c r="Q21" s="196" t="s">
        <v>813</v>
      </c>
      <c r="R21" s="334" t="s">
        <v>333</v>
      </c>
      <c r="S21" s="335" t="s">
        <v>193</v>
      </c>
      <c r="T21" s="332"/>
      <c r="U21" s="222" t="s">
        <v>160</v>
      </c>
      <c r="V21" s="144" t="s">
        <v>210</v>
      </c>
    </row>
    <row r="22" spans="1:22">
      <c r="A22" s="144" t="s">
        <v>1567</v>
      </c>
      <c r="B22" s="325" t="s">
        <v>1884</v>
      </c>
      <c r="C22" s="325"/>
      <c r="D22" s="289"/>
      <c r="E22" s="196">
        <v>8</v>
      </c>
      <c r="F22" s="196" t="s">
        <v>1567</v>
      </c>
      <c r="G22" s="196" t="s">
        <v>129</v>
      </c>
      <c r="H22" s="332" t="s">
        <v>826</v>
      </c>
      <c r="I22" s="332" t="s">
        <v>847</v>
      </c>
      <c r="J22" s="332">
        <v>43156696</v>
      </c>
      <c r="K22" s="196" t="s">
        <v>1191</v>
      </c>
      <c r="L22" s="178">
        <v>28872</v>
      </c>
      <c r="M22" s="283">
        <f t="shared" ca="1" si="0"/>
        <v>47</v>
      </c>
      <c r="N22" s="196" t="s">
        <v>1588</v>
      </c>
      <c r="O22" s="332">
        <v>3249160146</v>
      </c>
      <c r="P22" s="332" t="s">
        <v>848</v>
      </c>
      <c r="Q22" s="196" t="s">
        <v>810</v>
      </c>
      <c r="R22" s="334" t="s">
        <v>891</v>
      </c>
      <c r="S22" s="335" t="s">
        <v>193</v>
      </c>
      <c r="T22" s="332"/>
      <c r="U22" s="222" t="s">
        <v>160</v>
      </c>
      <c r="V22" s="144" t="s">
        <v>210</v>
      </c>
    </row>
    <row r="23" spans="1:22">
      <c r="A23" s="144" t="s">
        <v>1676</v>
      </c>
      <c r="B23" s="325" t="s">
        <v>1885</v>
      </c>
      <c r="C23" s="325"/>
      <c r="D23" s="289"/>
      <c r="E23" s="196">
        <v>8</v>
      </c>
      <c r="F23" s="196" t="s">
        <v>1567</v>
      </c>
      <c r="G23" s="196" t="s">
        <v>129</v>
      </c>
      <c r="H23" s="333" t="s">
        <v>826</v>
      </c>
      <c r="I23" s="333" t="s">
        <v>849</v>
      </c>
      <c r="J23" s="333">
        <v>1017926215</v>
      </c>
      <c r="K23" s="196" t="s">
        <v>1187</v>
      </c>
      <c r="L23" s="178">
        <v>38644</v>
      </c>
      <c r="M23" s="283">
        <f t="shared" ca="1" si="0"/>
        <v>20</v>
      </c>
      <c r="N23" s="196" t="s">
        <v>1588</v>
      </c>
      <c r="O23" s="333">
        <v>3016476955</v>
      </c>
      <c r="P23" s="333" t="s">
        <v>850</v>
      </c>
      <c r="Q23" s="196" t="s">
        <v>813</v>
      </c>
      <c r="R23" s="334" t="s">
        <v>192</v>
      </c>
      <c r="S23" s="335" t="s">
        <v>663</v>
      </c>
      <c r="T23" s="333"/>
      <c r="U23" s="222" t="s">
        <v>160</v>
      </c>
      <c r="V23" s="144" t="s">
        <v>210</v>
      </c>
    </row>
    <row r="24" spans="1:22">
      <c r="A24" s="144" t="s">
        <v>1677</v>
      </c>
      <c r="B24" s="325" t="s">
        <v>1886</v>
      </c>
      <c r="C24" s="325"/>
      <c r="D24" s="289"/>
      <c r="E24" s="196">
        <v>8</v>
      </c>
      <c r="F24" s="196" t="s">
        <v>1567</v>
      </c>
      <c r="G24" s="196" t="s">
        <v>129</v>
      </c>
      <c r="H24" s="332" t="s">
        <v>826</v>
      </c>
      <c r="I24" s="332" t="s">
        <v>851</v>
      </c>
      <c r="J24" s="332">
        <v>1017172144</v>
      </c>
      <c r="K24" s="196" t="s">
        <v>1191</v>
      </c>
      <c r="L24" s="178">
        <v>32743</v>
      </c>
      <c r="M24" s="283">
        <f t="shared" ca="1" si="0"/>
        <v>36</v>
      </c>
      <c r="N24" s="196" t="s">
        <v>1588</v>
      </c>
      <c r="O24" s="332">
        <v>3155117055</v>
      </c>
      <c r="P24" s="332" t="s">
        <v>852</v>
      </c>
      <c r="Q24" s="196" t="s">
        <v>813</v>
      </c>
      <c r="R24" s="334" t="s">
        <v>333</v>
      </c>
      <c r="S24" s="335" t="s">
        <v>663</v>
      </c>
      <c r="T24" s="332"/>
      <c r="U24" s="222" t="s">
        <v>160</v>
      </c>
      <c r="V24" s="144" t="s">
        <v>210</v>
      </c>
    </row>
    <row r="25" spans="1:22">
      <c r="A25" s="144" t="s">
        <v>864</v>
      </c>
      <c r="B25" s="325" t="s">
        <v>1887</v>
      </c>
      <c r="C25" s="325"/>
      <c r="D25" s="289"/>
      <c r="E25" s="196">
        <v>8</v>
      </c>
      <c r="F25" s="196" t="s">
        <v>1567</v>
      </c>
      <c r="G25" s="196" t="s">
        <v>129</v>
      </c>
      <c r="H25" s="332" t="s">
        <v>826</v>
      </c>
      <c r="I25" s="332" t="s">
        <v>853</v>
      </c>
      <c r="J25" s="332">
        <v>1032018136</v>
      </c>
      <c r="K25" s="196" t="s">
        <v>1191</v>
      </c>
      <c r="L25" s="178">
        <v>39998</v>
      </c>
      <c r="M25" s="283">
        <f t="shared" ca="1" si="0"/>
        <v>16</v>
      </c>
      <c r="N25" s="196" t="s">
        <v>1588</v>
      </c>
      <c r="O25" s="332">
        <v>3126442482</v>
      </c>
      <c r="P25" s="332" t="s">
        <v>854</v>
      </c>
      <c r="Q25" s="196" t="s">
        <v>813</v>
      </c>
      <c r="R25" s="334" t="s">
        <v>192</v>
      </c>
      <c r="S25" s="335" t="s">
        <v>663</v>
      </c>
      <c r="T25" s="332"/>
      <c r="U25" s="222" t="s">
        <v>160</v>
      </c>
      <c r="V25" s="144" t="s">
        <v>210</v>
      </c>
    </row>
    <row r="26" spans="1:22">
      <c r="A26" s="144" t="s">
        <v>1678</v>
      </c>
      <c r="B26" s="325" t="s">
        <v>1888</v>
      </c>
      <c r="C26" s="325"/>
      <c r="D26" s="289"/>
      <c r="E26" s="196">
        <v>8</v>
      </c>
      <c r="F26" s="196" t="s">
        <v>1567</v>
      </c>
      <c r="G26" s="196" t="s">
        <v>129</v>
      </c>
      <c r="H26" s="332" t="s">
        <v>826</v>
      </c>
      <c r="I26" s="332" t="s">
        <v>855</v>
      </c>
      <c r="J26" s="332">
        <v>71692923</v>
      </c>
      <c r="K26" s="196" t="s">
        <v>1187</v>
      </c>
      <c r="L26" s="178">
        <v>24776</v>
      </c>
      <c r="M26" s="283">
        <f t="shared" ca="1" si="0"/>
        <v>58</v>
      </c>
      <c r="N26" s="196" t="s">
        <v>1588</v>
      </c>
      <c r="O26" s="332">
        <v>3183419337</v>
      </c>
      <c r="P26" s="332"/>
      <c r="Q26" s="196" t="s">
        <v>813</v>
      </c>
      <c r="R26" s="334" t="s">
        <v>164</v>
      </c>
      <c r="S26" s="335" t="s">
        <v>663</v>
      </c>
      <c r="T26" s="332"/>
      <c r="U26" s="222" t="s">
        <v>160</v>
      </c>
      <c r="V26" s="144" t="s">
        <v>210</v>
      </c>
    </row>
    <row r="27" spans="1:22">
      <c r="A27" s="144" t="s">
        <v>870</v>
      </c>
      <c r="B27" s="325" t="s">
        <v>1889</v>
      </c>
      <c r="C27" s="325"/>
      <c r="D27" s="289"/>
      <c r="E27" s="196">
        <v>8</v>
      </c>
      <c r="F27" s="196" t="s">
        <v>1567</v>
      </c>
      <c r="G27" s="196" t="s">
        <v>129</v>
      </c>
      <c r="H27" s="332" t="s">
        <v>826</v>
      </c>
      <c r="I27" s="332" t="s">
        <v>856</v>
      </c>
      <c r="J27" s="332">
        <v>1025657289</v>
      </c>
      <c r="K27" s="196" t="s">
        <v>1191</v>
      </c>
      <c r="L27" s="178">
        <v>40026</v>
      </c>
      <c r="M27" s="283">
        <f t="shared" ca="1" si="0"/>
        <v>16</v>
      </c>
      <c r="N27" s="196" t="s">
        <v>1588</v>
      </c>
      <c r="O27" s="332">
        <v>3146448115</v>
      </c>
      <c r="P27" s="332" t="s">
        <v>857</v>
      </c>
      <c r="Q27" s="196" t="s">
        <v>813</v>
      </c>
      <c r="R27" s="334" t="s">
        <v>192</v>
      </c>
      <c r="S27" s="335" t="s">
        <v>230</v>
      </c>
      <c r="T27" s="332"/>
      <c r="U27" s="222" t="s">
        <v>160</v>
      </c>
      <c r="V27" s="144" t="s">
        <v>210</v>
      </c>
    </row>
    <row r="28" spans="1:22">
      <c r="A28" s="144" t="s">
        <v>871</v>
      </c>
      <c r="B28" s="325" t="s">
        <v>1890</v>
      </c>
      <c r="C28" s="325"/>
      <c r="D28" s="289"/>
      <c r="E28" s="196">
        <v>8</v>
      </c>
      <c r="F28" s="196" t="s">
        <v>1567</v>
      </c>
      <c r="G28" s="196" t="s">
        <v>129</v>
      </c>
      <c r="H28" s="332" t="s">
        <v>826</v>
      </c>
      <c r="I28" s="332" t="s">
        <v>858</v>
      </c>
      <c r="J28" s="332">
        <v>1032018146</v>
      </c>
      <c r="K28" s="196" t="s">
        <v>1191</v>
      </c>
      <c r="L28" s="178">
        <v>39998</v>
      </c>
      <c r="M28" s="283">
        <f t="shared" ca="1" si="0"/>
        <v>16</v>
      </c>
      <c r="N28" s="196" t="s">
        <v>1588</v>
      </c>
      <c r="O28" s="332">
        <v>3126442482</v>
      </c>
      <c r="P28" s="332" t="s">
        <v>854</v>
      </c>
      <c r="Q28" s="196" t="s">
        <v>813</v>
      </c>
      <c r="R28" s="334" t="s">
        <v>192</v>
      </c>
      <c r="S28" s="335" t="s">
        <v>663</v>
      </c>
      <c r="T28" s="332"/>
      <c r="U28" s="222" t="s">
        <v>160</v>
      </c>
      <c r="V28" s="144" t="s">
        <v>210</v>
      </c>
    </row>
    <row r="29" spans="1:22">
      <c r="A29" s="144" t="s">
        <v>1679</v>
      </c>
      <c r="B29" s="325" t="s">
        <v>1891</v>
      </c>
      <c r="C29" s="325"/>
      <c r="D29" s="289"/>
      <c r="E29" s="196">
        <v>8</v>
      </c>
      <c r="F29" s="196" t="s">
        <v>1567</v>
      </c>
      <c r="G29" s="196" t="s">
        <v>129</v>
      </c>
      <c r="H29" s="332" t="s">
        <v>826</v>
      </c>
      <c r="I29" s="332" t="s">
        <v>859</v>
      </c>
      <c r="J29" s="332">
        <v>1025652984</v>
      </c>
      <c r="K29" s="196" t="s">
        <v>1187</v>
      </c>
      <c r="L29" s="178">
        <v>39620</v>
      </c>
      <c r="M29" s="283">
        <f t="shared" ca="1" si="0"/>
        <v>17</v>
      </c>
      <c r="N29" s="196" t="s">
        <v>1588</v>
      </c>
      <c r="O29" s="332">
        <v>3006072605</v>
      </c>
      <c r="P29" s="332" t="s">
        <v>860</v>
      </c>
      <c r="Q29" s="196" t="s">
        <v>807</v>
      </c>
      <c r="R29" s="334" t="s">
        <v>192</v>
      </c>
      <c r="S29" s="335" t="s">
        <v>230</v>
      </c>
      <c r="T29" s="332"/>
      <c r="U29" s="222" t="s">
        <v>160</v>
      </c>
      <c r="V29" s="144" t="s">
        <v>210</v>
      </c>
    </row>
    <row r="30" spans="1:22">
      <c r="A30" s="144" t="s">
        <v>1680</v>
      </c>
      <c r="B30" s="325" t="s">
        <v>1892</v>
      </c>
      <c r="C30" s="325"/>
      <c r="D30" s="289"/>
      <c r="E30" s="196">
        <v>8</v>
      </c>
      <c r="F30" s="196" t="s">
        <v>1567</v>
      </c>
      <c r="G30" s="196" t="s">
        <v>129</v>
      </c>
      <c r="H30" s="332" t="s">
        <v>826</v>
      </c>
      <c r="I30" s="332" t="s">
        <v>861</v>
      </c>
      <c r="J30" s="332">
        <v>1025665092</v>
      </c>
      <c r="K30" s="196" t="s">
        <v>1187</v>
      </c>
      <c r="L30" s="178">
        <v>40954</v>
      </c>
      <c r="M30" s="283">
        <f t="shared" ca="1" si="0"/>
        <v>14</v>
      </c>
      <c r="N30" s="196" t="s">
        <v>1588</v>
      </c>
      <c r="O30" s="332">
        <v>3002833881</v>
      </c>
      <c r="P30" s="332" t="s">
        <v>862</v>
      </c>
      <c r="Q30" s="196" t="s">
        <v>813</v>
      </c>
      <c r="R30" s="334" t="s">
        <v>192</v>
      </c>
      <c r="S30" s="335" t="s">
        <v>663</v>
      </c>
      <c r="T30" s="332"/>
      <c r="U30" s="222" t="s">
        <v>160</v>
      </c>
      <c r="V30" s="144" t="s">
        <v>210</v>
      </c>
    </row>
    <row r="31" spans="1:22">
      <c r="A31" s="144" t="s">
        <v>810</v>
      </c>
      <c r="B31" s="325" t="s">
        <v>1893</v>
      </c>
      <c r="C31" s="325"/>
      <c r="D31" s="289"/>
      <c r="E31" s="196">
        <v>8</v>
      </c>
      <c r="F31" s="196" t="s">
        <v>1567</v>
      </c>
      <c r="G31" s="196" t="s">
        <v>129</v>
      </c>
      <c r="H31" s="332" t="s">
        <v>826</v>
      </c>
      <c r="I31" s="332" t="s">
        <v>829</v>
      </c>
      <c r="J31" s="332">
        <v>43542313</v>
      </c>
      <c r="K31" s="196" t="s">
        <v>1191</v>
      </c>
      <c r="L31" s="178">
        <v>25420</v>
      </c>
      <c r="M31" s="283">
        <f t="shared" ca="1" si="0"/>
        <v>56</v>
      </c>
      <c r="N31" s="196" t="s">
        <v>1588</v>
      </c>
      <c r="O31" s="332">
        <v>3315171672</v>
      </c>
      <c r="P31" s="332" t="s">
        <v>830</v>
      </c>
      <c r="Q31" s="196" t="s">
        <v>813</v>
      </c>
      <c r="R31" s="334" t="s">
        <v>164</v>
      </c>
      <c r="S31" s="335" t="s">
        <v>193</v>
      </c>
      <c r="T31" s="332">
        <v>1999</v>
      </c>
      <c r="U31" s="222" t="s">
        <v>160</v>
      </c>
      <c r="V31" s="144" t="s">
        <v>210</v>
      </c>
    </row>
    <row r="32" spans="1:22">
      <c r="A32" s="144" t="s">
        <v>1681</v>
      </c>
      <c r="B32" s="325" t="s">
        <v>1894</v>
      </c>
      <c r="C32" s="325"/>
      <c r="D32" s="289"/>
      <c r="E32" s="196">
        <v>8</v>
      </c>
      <c r="F32" s="196" t="s">
        <v>1567</v>
      </c>
      <c r="G32" s="196" t="s">
        <v>129</v>
      </c>
      <c r="H32" s="333" t="s">
        <v>826</v>
      </c>
      <c r="I32" s="333" t="s">
        <v>849</v>
      </c>
      <c r="J32" s="333">
        <v>1017926215</v>
      </c>
      <c r="K32" s="196" t="s">
        <v>1187</v>
      </c>
      <c r="L32" s="178">
        <v>38644</v>
      </c>
      <c r="M32" s="283">
        <f t="shared" ca="1" si="0"/>
        <v>20</v>
      </c>
      <c r="N32" s="196" t="s">
        <v>1588</v>
      </c>
      <c r="O32" s="333">
        <v>3016476955</v>
      </c>
      <c r="P32" s="333" t="s">
        <v>850</v>
      </c>
      <c r="Q32" s="196" t="s">
        <v>813</v>
      </c>
      <c r="R32" s="334" t="s">
        <v>192</v>
      </c>
      <c r="S32" s="335" t="s">
        <v>663</v>
      </c>
      <c r="T32" s="333">
        <v>2013</v>
      </c>
      <c r="U32" s="222" t="s">
        <v>160</v>
      </c>
      <c r="V32" s="144" t="s">
        <v>210</v>
      </c>
    </row>
    <row r="33" spans="1:22">
      <c r="A33" s="144" t="s">
        <v>807</v>
      </c>
      <c r="B33" s="325" t="s">
        <v>1895</v>
      </c>
      <c r="C33" s="325"/>
      <c r="D33" s="289"/>
      <c r="E33" s="196">
        <v>8</v>
      </c>
      <c r="F33" s="196" t="s">
        <v>1567</v>
      </c>
      <c r="G33" s="196" t="s">
        <v>129</v>
      </c>
      <c r="H33" s="332" t="s">
        <v>826</v>
      </c>
      <c r="I33" s="332" t="s">
        <v>841</v>
      </c>
      <c r="J33" s="332">
        <v>1020105463</v>
      </c>
      <c r="K33" s="196" t="s">
        <v>1187</v>
      </c>
      <c r="L33" s="178">
        <v>38217</v>
      </c>
      <c r="M33" s="283">
        <f t="shared" ca="1" si="0"/>
        <v>21</v>
      </c>
      <c r="N33" s="196" t="s">
        <v>1588</v>
      </c>
      <c r="O33" s="332">
        <v>3005744685</v>
      </c>
      <c r="P33" s="332" t="s">
        <v>842</v>
      </c>
      <c r="Q33" s="196" t="s">
        <v>813</v>
      </c>
      <c r="R33" s="334" t="s">
        <v>333</v>
      </c>
      <c r="S33" s="335" t="s">
        <v>663</v>
      </c>
      <c r="T33" s="332">
        <v>2017</v>
      </c>
      <c r="U33" s="222" t="s">
        <v>160</v>
      </c>
      <c r="V33" s="144" t="s">
        <v>210</v>
      </c>
    </row>
    <row r="34" spans="1:22">
      <c r="A34" s="144" t="s">
        <v>813</v>
      </c>
      <c r="B34" s="325" t="s">
        <v>1896</v>
      </c>
      <c r="C34" s="325"/>
      <c r="D34" s="840" t="s">
        <v>2290</v>
      </c>
      <c r="E34" s="755">
        <v>8</v>
      </c>
      <c r="F34" s="755" t="s">
        <v>1567</v>
      </c>
      <c r="G34" s="755" t="s">
        <v>151</v>
      </c>
      <c r="H34" s="755" t="s">
        <v>863</v>
      </c>
      <c r="I34" s="841" t="str">
        <f>PROPER("JOHANY STIVER CASTAÑO METAUTE")</f>
        <v>Johany Stiver Castaño Metaute</v>
      </c>
      <c r="J34" s="842">
        <v>3349753</v>
      </c>
      <c r="K34" s="755" t="s">
        <v>1187</v>
      </c>
      <c r="L34" s="765"/>
      <c r="M34" s="757"/>
      <c r="N34" s="755" t="s">
        <v>1588</v>
      </c>
      <c r="O34" s="842">
        <v>3016953352</v>
      </c>
      <c r="P34" s="755"/>
      <c r="Q34" s="755" t="s">
        <v>1679</v>
      </c>
      <c r="R34" s="836" t="s">
        <v>1585</v>
      </c>
      <c r="S34" s="837" t="s">
        <v>1585</v>
      </c>
      <c r="T34" s="755"/>
      <c r="U34" s="760" t="s">
        <v>166</v>
      </c>
      <c r="V34" s="761" t="s">
        <v>210</v>
      </c>
    </row>
    <row r="35" spans="1:22">
      <c r="A35" s="144" t="s">
        <v>1682</v>
      </c>
      <c r="B35" s="144" t="s">
        <v>1899</v>
      </c>
      <c r="D35" s="360"/>
      <c r="E35" s="137">
        <v>8</v>
      </c>
      <c r="F35" s="137" t="s">
        <v>1567</v>
      </c>
      <c r="G35" s="137" t="s">
        <v>151</v>
      </c>
      <c r="H35" s="137" t="s">
        <v>863</v>
      </c>
      <c r="I35" s="336" t="str">
        <f>PROPER("PAOLA JULIET RAMIREZ RUIZ")</f>
        <v>Paola Juliet Ramirez Ruiz</v>
      </c>
      <c r="J35" s="337">
        <v>1017225193</v>
      </c>
      <c r="K35" s="137" t="s">
        <v>1191</v>
      </c>
      <c r="L35" s="179"/>
      <c r="M35" s="286"/>
      <c r="N35" s="137" t="s">
        <v>1588</v>
      </c>
      <c r="O35" s="337">
        <v>3242773291</v>
      </c>
      <c r="P35" s="137"/>
      <c r="Q35" s="137" t="s">
        <v>1679</v>
      </c>
      <c r="R35" s="338" t="s">
        <v>1585</v>
      </c>
      <c r="S35" s="339" t="s">
        <v>1585</v>
      </c>
      <c r="T35" s="137"/>
      <c r="U35" s="223" t="s">
        <v>160</v>
      </c>
      <c r="V35" s="144" t="s">
        <v>210</v>
      </c>
    </row>
    <row r="36" spans="1:22">
      <c r="A36" s="144" t="s">
        <v>1683</v>
      </c>
      <c r="B36" s="144" t="s">
        <v>1900</v>
      </c>
      <c r="D36" s="289"/>
      <c r="E36" s="137">
        <v>8</v>
      </c>
      <c r="F36" s="137" t="s">
        <v>1567</v>
      </c>
      <c r="G36" s="137" t="s">
        <v>151</v>
      </c>
      <c r="H36" s="137" t="s">
        <v>863</v>
      </c>
      <c r="I36" s="336" t="str">
        <f>PROPER("ANGELA MARIA ALZATE LONDOÑO")</f>
        <v>Angela Maria Alzate Londoño</v>
      </c>
      <c r="J36" s="337">
        <v>44007739</v>
      </c>
      <c r="K36" s="137" t="s">
        <v>1191</v>
      </c>
      <c r="L36" s="179"/>
      <c r="M36" s="286"/>
      <c r="N36" s="137" t="s">
        <v>1588</v>
      </c>
      <c r="O36" s="337">
        <v>3163608725</v>
      </c>
      <c r="P36" s="137"/>
      <c r="Q36" s="137" t="s">
        <v>1679</v>
      </c>
      <c r="R36" s="338" t="s">
        <v>1585</v>
      </c>
      <c r="S36" s="339" t="s">
        <v>1585</v>
      </c>
      <c r="T36" s="137"/>
      <c r="U36" s="223" t="s">
        <v>160</v>
      </c>
      <c r="V36" s="144" t="s">
        <v>210</v>
      </c>
    </row>
    <row r="37" spans="1:22">
      <c r="A37" s="144" t="s">
        <v>1684</v>
      </c>
      <c r="B37" s="144" t="s">
        <v>1898</v>
      </c>
      <c r="D37" s="360"/>
      <c r="E37" s="137">
        <v>8</v>
      </c>
      <c r="F37" s="137" t="s">
        <v>1567</v>
      </c>
      <c r="G37" s="137" t="s">
        <v>151</v>
      </c>
      <c r="H37" s="137" t="s">
        <v>863</v>
      </c>
      <c r="I37" s="336" t="str">
        <f>PROPER("SANDRA MILENA PALACIOS SARMIENTO")</f>
        <v>Sandra Milena Palacios Sarmiento</v>
      </c>
      <c r="J37" s="337">
        <v>1214733780</v>
      </c>
      <c r="K37" s="137" t="s">
        <v>1191</v>
      </c>
      <c r="L37" s="179"/>
      <c r="M37" s="286"/>
      <c r="N37" s="137" t="s">
        <v>1588</v>
      </c>
      <c r="O37" s="337">
        <v>3235858425</v>
      </c>
      <c r="P37" s="137"/>
      <c r="Q37" s="137" t="s">
        <v>1679</v>
      </c>
      <c r="R37" s="338" t="s">
        <v>1585</v>
      </c>
      <c r="S37" s="339" t="s">
        <v>1585</v>
      </c>
      <c r="T37" s="137"/>
      <c r="U37" s="223" t="s">
        <v>160</v>
      </c>
      <c r="V37" s="144" t="s">
        <v>210</v>
      </c>
    </row>
    <row r="38" spans="1:22">
      <c r="A38" s="144" t="s">
        <v>1685</v>
      </c>
      <c r="B38" s="144" t="s">
        <v>218</v>
      </c>
      <c r="D38" s="360"/>
      <c r="E38" s="137">
        <v>8</v>
      </c>
      <c r="F38" s="137" t="s">
        <v>1567</v>
      </c>
      <c r="G38" s="137" t="s">
        <v>151</v>
      </c>
      <c r="H38" s="137" t="s">
        <v>863</v>
      </c>
      <c r="I38" s="336" t="str">
        <f>PROPER("ANDERSSON ALBERTO AGUDELO BOTERO")</f>
        <v>Andersson Alberto Agudelo Botero</v>
      </c>
      <c r="J38" s="337">
        <v>98639121</v>
      </c>
      <c r="K38" s="137" t="s">
        <v>1187</v>
      </c>
      <c r="L38" s="179"/>
      <c r="M38" s="286"/>
      <c r="N38" s="137" t="s">
        <v>1588</v>
      </c>
      <c r="O38" s="337">
        <v>3012708435</v>
      </c>
      <c r="P38" s="137"/>
      <c r="Q38" s="137" t="s">
        <v>1679</v>
      </c>
      <c r="R38" s="338" t="s">
        <v>1585</v>
      </c>
      <c r="S38" s="339" t="s">
        <v>1585</v>
      </c>
      <c r="T38" s="137"/>
      <c r="U38" s="223" t="s">
        <v>160</v>
      </c>
      <c r="V38" s="144" t="s">
        <v>210</v>
      </c>
    </row>
    <row r="39" spans="1:22">
      <c r="A39" s="144" t="s">
        <v>1686</v>
      </c>
      <c r="B39" s="144" t="s">
        <v>1585</v>
      </c>
      <c r="D39" s="360"/>
      <c r="E39" s="137">
        <v>8</v>
      </c>
      <c r="F39" s="137" t="s">
        <v>1567</v>
      </c>
      <c r="G39" s="137" t="s">
        <v>151</v>
      </c>
      <c r="H39" s="137" t="s">
        <v>863</v>
      </c>
      <c r="I39" s="336" t="str">
        <f>PROPER("ALEJANDRO CARDONA MUNERA")</f>
        <v>Alejandro Cardona Munera</v>
      </c>
      <c r="J39" s="337">
        <v>1040325021</v>
      </c>
      <c r="K39" s="137" t="s">
        <v>1187</v>
      </c>
      <c r="L39" s="179"/>
      <c r="M39" s="286"/>
      <c r="N39" s="137" t="s">
        <v>1588</v>
      </c>
      <c r="O39" s="337">
        <v>3193917748</v>
      </c>
      <c r="P39" s="137"/>
      <c r="Q39" s="137" t="s">
        <v>1679</v>
      </c>
      <c r="R39" s="338" t="s">
        <v>1585</v>
      </c>
      <c r="S39" s="339" t="s">
        <v>1585</v>
      </c>
      <c r="T39" s="137"/>
      <c r="U39" s="223" t="s">
        <v>160</v>
      </c>
      <c r="V39" s="144" t="s">
        <v>210</v>
      </c>
    </row>
    <row r="40" spans="1:22">
      <c r="D40" s="824" t="s">
        <v>2290</v>
      </c>
      <c r="E40" s="755">
        <v>8</v>
      </c>
      <c r="F40" s="755" t="s">
        <v>1567</v>
      </c>
      <c r="G40" s="755" t="s">
        <v>151</v>
      </c>
      <c r="H40" s="755" t="s">
        <v>864</v>
      </c>
      <c r="I40" s="841" t="str">
        <f>PROPER("JAIRO DE JESUS TABARES TABORDA")</f>
        <v>Jairo De Jesus Tabares Taborda</v>
      </c>
      <c r="J40" s="842">
        <v>15457046</v>
      </c>
      <c r="K40" s="755" t="s">
        <v>1187</v>
      </c>
      <c r="L40" s="755"/>
      <c r="M40" s="757"/>
      <c r="N40" s="755" t="s">
        <v>1588</v>
      </c>
      <c r="O40" s="842">
        <v>3015157607</v>
      </c>
      <c r="P40" s="755"/>
      <c r="Q40" s="755" t="s">
        <v>864</v>
      </c>
      <c r="R40" s="836" t="s">
        <v>1585</v>
      </c>
      <c r="S40" s="837" t="s">
        <v>1585</v>
      </c>
      <c r="T40" s="755"/>
      <c r="U40" s="760" t="s">
        <v>166</v>
      </c>
      <c r="V40" s="761" t="s">
        <v>210</v>
      </c>
    </row>
    <row r="41" spans="1:22">
      <c r="D41" s="289"/>
      <c r="E41" s="200">
        <v>8</v>
      </c>
      <c r="F41" s="200" t="s">
        <v>1567</v>
      </c>
      <c r="G41" s="200" t="s">
        <v>151</v>
      </c>
      <c r="H41" s="200" t="s">
        <v>864</v>
      </c>
      <c r="I41" s="340" t="str">
        <f>PROPER("DIANA MARIA GARCIA")</f>
        <v>Diana Maria Garcia</v>
      </c>
      <c r="J41" s="341">
        <v>43083264</v>
      </c>
      <c r="K41" s="200" t="s">
        <v>1191</v>
      </c>
      <c r="L41" s="200"/>
      <c r="M41" s="238"/>
      <c r="N41" s="200" t="s">
        <v>1588</v>
      </c>
      <c r="O41" s="341">
        <v>3136386532</v>
      </c>
      <c r="P41" s="200"/>
      <c r="Q41" s="200" t="s">
        <v>864</v>
      </c>
      <c r="R41" s="327" t="s">
        <v>1585</v>
      </c>
      <c r="S41" s="328" t="s">
        <v>1585</v>
      </c>
      <c r="T41" s="200"/>
      <c r="U41" s="224" t="s">
        <v>160</v>
      </c>
      <c r="V41" s="144" t="s">
        <v>210</v>
      </c>
    </row>
    <row r="42" spans="1:22">
      <c r="D42" s="289"/>
      <c r="E42" s="200">
        <v>8</v>
      </c>
      <c r="F42" s="200" t="s">
        <v>1567</v>
      </c>
      <c r="G42" s="200" t="s">
        <v>151</v>
      </c>
      <c r="H42" s="200" t="s">
        <v>864</v>
      </c>
      <c r="I42" s="340" t="str">
        <f>PROPER("CLAUDIA PATRICIA SILVA GALEANO")</f>
        <v>Claudia Patricia Silva Galeano</v>
      </c>
      <c r="J42" s="341">
        <v>43190731</v>
      </c>
      <c r="K42" s="200" t="s">
        <v>1191</v>
      </c>
      <c r="L42" s="200"/>
      <c r="M42" s="238"/>
      <c r="N42" s="200" t="s">
        <v>1588</v>
      </c>
      <c r="O42" s="341">
        <v>3004256775</v>
      </c>
      <c r="P42" s="200"/>
      <c r="Q42" s="200" t="s">
        <v>864</v>
      </c>
      <c r="R42" s="327" t="s">
        <v>1585</v>
      </c>
      <c r="S42" s="328" t="s">
        <v>1585</v>
      </c>
      <c r="T42" s="200"/>
      <c r="U42" s="224" t="s">
        <v>160</v>
      </c>
      <c r="V42" s="144" t="s">
        <v>210</v>
      </c>
    </row>
    <row r="43" spans="1:22">
      <c r="D43" s="289"/>
      <c r="E43" s="200">
        <v>8</v>
      </c>
      <c r="F43" s="200" t="s">
        <v>1567</v>
      </c>
      <c r="G43" s="200" t="s">
        <v>151</v>
      </c>
      <c r="H43" s="200" t="s">
        <v>864</v>
      </c>
      <c r="I43" s="340" t="str">
        <f>PROPER("JAHARY VIANA SILVA")</f>
        <v>Jahary Viana Silva</v>
      </c>
      <c r="J43" s="341">
        <v>1001687060</v>
      </c>
      <c r="K43" s="200" t="s">
        <v>1191</v>
      </c>
      <c r="L43" s="200"/>
      <c r="M43" s="238"/>
      <c r="N43" s="200" t="s">
        <v>1588</v>
      </c>
      <c r="O43" s="341">
        <v>3148437803</v>
      </c>
      <c r="P43" s="200"/>
      <c r="Q43" s="200" t="s">
        <v>864</v>
      </c>
      <c r="R43" s="327" t="s">
        <v>1585</v>
      </c>
      <c r="S43" s="328" t="s">
        <v>1585</v>
      </c>
      <c r="T43" s="200"/>
      <c r="U43" s="224" t="s">
        <v>160</v>
      </c>
      <c r="V43" s="144" t="s">
        <v>210</v>
      </c>
    </row>
    <row r="44" spans="1:22">
      <c r="D44" s="289"/>
      <c r="E44" s="200">
        <v>8</v>
      </c>
      <c r="F44" s="200" t="s">
        <v>1567</v>
      </c>
      <c r="G44" s="200" t="s">
        <v>151</v>
      </c>
      <c r="H44" s="200" t="s">
        <v>864</v>
      </c>
      <c r="I44" s="340" t="str">
        <f>PROPER("DONELIA GARCIA")</f>
        <v>Donelia Garcia</v>
      </c>
      <c r="J44" s="341">
        <v>43587284</v>
      </c>
      <c r="K44" s="200" t="s">
        <v>1191</v>
      </c>
      <c r="L44" s="200"/>
      <c r="M44" s="238"/>
      <c r="N44" s="200" t="s">
        <v>1588</v>
      </c>
      <c r="O44" s="341">
        <v>3105107310</v>
      </c>
      <c r="P44" s="200"/>
      <c r="Q44" s="200" t="s">
        <v>864</v>
      </c>
      <c r="R44" s="327" t="s">
        <v>1585</v>
      </c>
      <c r="S44" s="328" t="s">
        <v>1585</v>
      </c>
      <c r="T44" s="200"/>
      <c r="U44" s="224" t="s">
        <v>160</v>
      </c>
      <c r="V44" s="144" t="s">
        <v>210</v>
      </c>
    </row>
    <row r="45" spans="1:22">
      <c r="D45" s="289"/>
      <c r="E45" s="200">
        <v>8</v>
      </c>
      <c r="F45" s="200" t="s">
        <v>1567</v>
      </c>
      <c r="G45" s="200" t="s">
        <v>151</v>
      </c>
      <c r="H45" s="200" t="s">
        <v>864</v>
      </c>
      <c r="I45" s="340" t="str">
        <f>PROPER("JAIRO ANIBAL LONDOÑO BLANDON")</f>
        <v>Jairo Anibal Londoño Blandon</v>
      </c>
      <c r="J45" s="341">
        <v>8031118</v>
      </c>
      <c r="K45" s="200" t="s">
        <v>1187</v>
      </c>
      <c r="L45" s="200"/>
      <c r="M45" s="238"/>
      <c r="N45" s="200" t="s">
        <v>1588</v>
      </c>
      <c r="O45" s="341">
        <v>3218987264</v>
      </c>
      <c r="P45" s="200"/>
      <c r="Q45" s="200" t="s">
        <v>864</v>
      </c>
      <c r="R45" s="327" t="s">
        <v>1585</v>
      </c>
      <c r="S45" s="328" t="s">
        <v>1585</v>
      </c>
      <c r="T45" s="200"/>
      <c r="U45" s="224" t="s">
        <v>160</v>
      </c>
      <c r="V45" s="144" t="s">
        <v>210</v>
      </c>
    </row>
    <row r="46" spans="1:22">
      <c r="D46" s="824" t="s">
        <v>2290</v>
      </c>
      <c r="E46" s="755">
        <v>8</v>
      </c>
      <c r="F46" s="755" t="s">
        <v>1567</v>
      </c>
      <c r="G46" s="755" t="s">
        <v>151</v>
      </c>
      <c r="H46" s="755" t="s">
        <v>1567</v>
      </c>
      <c r="I46" s="841" t="str">
        <f>PROPER("GUSTAVO ALONSO ALZATE SALAZAR")</f>
        <v>Gustavo Alonso Alzate Salazar</v>
      </c>
      <c r="J46" s="842">
        <v>71654417</v>
      </c>
      <c r="K46" s="755" t="s">
        <v>1187</v>
      </c>
      <c r="L46" s="765"/>
      <c r="M46" s="757"/>
      <c r="N46" s="755" t="s">
        <v>1588</v>
      </c>
      <c r="O46" s="842">
        <v>3137451301</v>
      </c>
      <c r="P46" s="755"/>
      <c r="Q46" s="755" t="s">
        <v>1567</v>
      </c>
      <c r="R46" s="836" t="s">
        <v>1585</v>
      </c>
      <c r="S46" s="837" t="s">
        <v>1585</v>
      </c>
      <c r="T46" s="755"/>
      <c r="U46" s="760" t="s">
        <v>166</v>
      </c>
      <c r="V46" s="761" t="s">
        <v>210</v>
      </c>
    </row>
    <row r="47" spans="1:22">
      <c r="D47" s="289"/>
      <c r="E47" s="195">
        <v>8</v>
      </c>
      <c r="F47" s="195" t="s">
        <v>1567</v>
      </c>
      <c r="G47" s="195" t="s">
        <v>151</v>
      </c>
      <c r="H47" s="195" t="s">
        <v>1567</v>
      </c>
      <c r="I47" s="342" t="str">
        <f>PROPER("NELSON NICOLAS ALZATE SALAZAR")</f>
        <v>Nelson Nicolas Alzate Salazar</v>
      </c>
      <c r="J47" s="343">
        <v>70105783</v>
      </c>
      <c r="K47" s="195" t="s">
        <v>1187</v>
      </c>
      <c r="L47" s="177"/>
      <c r="M47" s="239"/>
      <c r="N47" s="195" t="s">
        <v>1588</v>
      </c>
      <c r="O47" s="343">
        <v>3007354602</v>
      </c>
      <c r="P47" s="195"/>
      <c r="Q47" s="195" t="s">
        <v>1567</v>
      </c>
      <c r="R47" s="330" t="s">
        <v>1585</v>
      </c>
      <c r="S47" s="331" t="s">
        <v>1585</v>
      </c>
      <c r="T47" s="195"/>
      <c r="U47" s="221" t="s">
        <v>160</v>
      </c>
      <c r="V47" s="144" t="s">
        <v>210</v>
      </c>
    </row>
    <row r="48" spans="1:22">
      <c r="D48" s="289"/>
      <c r="E48" s="195">
        <v>8</v>
      </c>
      <c r="F48" s="195" t="s">
        <v>1567</v>
      </c>
      <c r="G48" s="195" t="s">
        <v>151</v>
      </c>
      <c r="H48" s="195" t="s">
        <v>1567</v>
      </c>
      <c r="I48" s="342" t="str">
        <f>PROPER("HECTOR MARIN VARGAS")</f>
        <v>Hector Marin Vargas</v>
      </c>
      <c r="J48" s="343">
        <v>18500961</v>
      </c>
      <c r="K48" s="195" t="s">
        <v>1187</v>
      </c>
      <c r="L48" s="177"/>
      <c r="M48" s="239"/>
      <c r="N48" s="195" t="s">
        <v>1588</v>
      </c>
      <c r="O48" s="343">
        <v>3003611238</v>
      </c>
      <c r="P48" s="195"/>
      <c r="Q48" s="195" t="s">
        <v>1567</v>
      </c>
      <c r="R48" s="330" t="s">
        <v>1585</v>
      </c>
      <c r="S48" s="331" t="s">
        <v>1585</v>
      </c>
      <c r="T48" s="195"/>
      <c r="U48" s="221" t="s">
        <v>160</v>
      </c>
      <c r="V48" s="144" t="s">
        <v>210</v>
      </c>
    </row>
    <row r="49" spans="4:22">
      <c r="D49" s="289"/>
      <c r="E49" s="195">
        <v>8</v>
      </c>
      <c r="F49" s="195" t="s">
        <v>1567</v>
      </c>
      <c r="G49" s="195" t="s">
        <v>151</v>
      </c>
      <c r="H49" s="195" t="s">
        <v>1567</v>
      </c>
      <c r="I49" s="342" t="str">
        <f>PROPER("ALVARO ANTONIO OSORIO OCHOA")</f>
        <v>Alvaro Antonio Osorio Ochoa</v>
      </c>
      <c r="J49" s="343">
        <v>71589234</v>
      </c>
      <c r="K49" s="195" t="s">
        <v>1187</v>
      </c>
      <c r="L49" s="177"/>
      <c r="M49" s="239"/>
      <c r="N49" s="195" t="s">
        <v>1588</v>
      </c>
      <c r="O49" s="343">
        <v>3154049722</v>
      </c>
      <c r="P49" s="195"/>
      <c r="Q49" s="195" t="s">
        <v>1567</v>
      </c>
      <c r="R49" s="330" t="s">
        <v>1585</v>
      </c>
      <c r="S49" s="331" t="s">
        <v>1585</v>
      </c>
      <c r="T49" s="195"/>
      <c r="U49" s="221" t="s">
        <v>160</v>
      </c>
      <c r="V49" s="144" t="s">
        <v>210</v>
      </c>
    </row>
    <row r="50" spans="4:22">
      <c r="D50" s="289"/>
      <c r="E50" s="195">
        <v>8</v>
      </c>
      <c r="F50" s="195" t="s">
        <v>1567</v>
      </c>
      <c r="G50" s="195" t="s">
        <v>151</v>
      </c>
      <c r="H50" s="195" t="s">
        <v>1567</v>
      </c>
      <c r="I50" s="342" t="str">
        <f>PROPER("GUSTAVO ALONSO OSORIO OCHOA")</f>
        <v>Gustavo Alonso Osorio Ochoa</v>
      </c>
      <c r="J50" s="343">
        <v>70100208</v>
      </c>
      <c r="K50" s="195" t="s">
        <v>1187</v>
      </c>
      <c r="L50" s="177"/>
      <c r="M50" s="239"/>
      <c r="N50" s="195" t="s">
        <v>1588</v>
      </c>
      <c r="O50" s="343">
        <v>3005774173</v>
      </c>
      <c r="P50" s="195"/>
      <c r="Q50" s="195" t="s">
        <v>1567</v>
      </c>
      <c r="R50" s="330" t="s">
        <v>1585</v>
      </c>
      <c r="S50" s="331" t="s">
        <v>1585</v>
      </c>
      <c r="T50" s="195"/>
      <c r="U50" s="221" t="s">
        <v>160</v>
      </c>
      <c r="V50" s="144" t="s">
        <v>210</v>
      </c>
    </row>
    <row r="51" spans="4:22">
      <c r="D51" s="289"/>
      <c r="E51" s="195">
        <v>8</v>
      </c>
      <c r="F51" s="195" t="s">
        <v>1567</v>
      </c>
      <c r="G51" s="195" t="s">
        <v>151</v>
      </c>
      <c r="H51" s="195" t="s">
        <v>1567</v>
      </c>
      <c r="I51" s="342" t="str">
        <f>PROPER("MARTHA LUCIA GOMEZ")</f>
        <v>Martha Lucia Gomez</v>
      </c>
      <c r="J51" s="343">
        <v>39326812</v>
      </c>
      <c r="K51" s="195" t="s">
        <v>1191</v>
      </c>
      <c r="L51" s="177"/>
      <c r="M51" s="239"/>
      <c r="N51" s="195" t="s">
        <v>1588</v>
      </c>
      <c r="O51" s="343">
        <v>3003611238</v>
      </c>
      <c r="P51" s="195"/>
      <c r="Q51" s="195" t="s">
        <v>1567</v>
      </c>
      <c r="R51" s="330" t="s">
        <v>1585</v>
      </c>
      <c r="S51" s="331" t="s">
        <v>1585</v>
      </c>
      <c r="T51" s="195"/>
      <c r="U51" s="221" t="s">
        <v>160</v>
      </c>
      <c r="V51" s="144" t="s">
        <v>210</v>
      </c>
    </row>
    <row r="52" spans="4:22">
      <c r="D52" s="289"/>
      <c r="E52" s="195">
        <v>8</v>
      </c>
      <c r="F52" s="195" t="s">
        <v>1567</v>
      </c>
      <c r="G52" s="195" t="s">
        <v>151</v>
      </c>
      <c r="H52" s="195" t="s">
        <v>1567</v>
      </c>
      <c r="I52" s="342" t="str">
        <f>PROPER("GABRIEL RENDON GARCES")</f>
        <v>Gabriel Rendon Garces</v>
      </c>
      <c r="J52" s="343">
        <v>71615895</v>
      </c>
      <c r="K52" s="195" t="s">
        <v>1187</v>
      </c>
      <c r="L52" s="177"/>
      <c r="M52" s="239"/>
      <c r="N52" s="195" t="s">
        <v>1588</v>
      </c>
      <c r="O52" s="343"/>
      <c r="P52" s="195"/>
      <c r="Q52" s="195" t="s">
        <v>1567</v>
      </c>
      <c r="R52" s="330" t="s">
        <v>1585</v>
      </c>
      <c r="S52" s="331" t="s">
        <v>1585</v>
      </c>
      <c r="T52" s="195"/>
      <c r="U52" s="221" t="s">
        <v>160</v>
      </c>
      <c r="V52" s="144" t="s">
        <v>210</v>
      </c>
    </row>
    <row r="53" spans="4:22">
      <c r="D53" s="824" t="s">
        <v>2290</v>
      </c>
      <c r="E53" s="755">
        <v>8</v>
      </c>
      <c r="F53" s="755" t="s">
        <v>1567</v>
      </c>
      <c r="G53" s="755" t="s">
        <v>151</v>
      </c>
      <c r="H53" s="755" t="s">
        <v>865</v>
      </c>
      <c r="I53" s="841" t="str">
        <f>PROPER("SHIRLEY XIOMARA AGUDELO CORDOBA")</f>
        <v>Shirley Xiomara Agudelo Cordoba</v>
      </c>
      <c r="J53" s="842">
        <v>43257850</v>
      </c>
      <c r="K53" s="755" t="s">
        <v>1191</v>
      </c>
      <c r="L53" s="765"/>
      <c r="M53" s="757"/>
      <c r="N53" s="755" t="s">
        <v>1588</v>
      </c>
      <c r="O53" s="842">
        <v>3178233227</v>
      </c>
      <c r="P53" s="755"/>
      <c r="Q53" s="755" t="s">
        <v>810</v>
      </c>
      <c r="R53" s="836" t="s">
        <v>1585</v>
      </c>
      <c r="S53" s="837" t="s">
        <v>1585</v>
      </c>
      <c r="T53" s="755"/>
      <c r="U53" s="760" t="s">
        <v>166</v>
      </c>
      <c r="V53" s="761" t="s">
        <v>210</v>
      </c>
    </row>
    <row r="54" spans="4:22">
      <c r="D54" s="289"/>
      <c r="E54" s="196">
        <v>8</v>
      </c>
      <c r="F54" s="196" t="s">
        <v>1567</v>
      </c>
      <c r="G54" s="196" t="s">
        <v>151</v>
      </c>
      <c r="H54" s="196" t="s">
        <v>865</v>
      </c>
      <c r="I54" s="344" t="str">
        <f>PROPER("MARIA YANETH CASAFUZ VARGAS")</f>
        <v>Maria Yaneth Casafuz Vargas</v>
      </c>
      <c r="J54" s="345">
        <v>43582567</v>
      </c>
      <c r="K54" s="196" t="s">
        <v>1191</v>
      </c>
      <c r="L54" s="178"/>
      <c r="M54" s="283"/>
      <c r="N54" s="196" t="s">
        <v>1588</v>
      </c>
      <c r="O54" s="345">
        <v>3178233227</v>
      </c>
      <c r="P54" s="196"/>
      <c r="Q54" s="196" t="s">
        <v>810</v>
      </c>
      <c r="R54" s="334" t="s">
        <v>1585</v>
      </c>
      <c r="S54" s="335" t="s">
        <v>1585</v>
      </c>
      <c r="T54" s="196"/>
      <c r="U54" s="222" t="s">
        <v>160</v>
      </c>
      <c r="V54" s="144" t="s">
        <v>210</v>
      </c>
    </row>
    <row r="55" spans="4:22">
      <c r="D55" s="289"/>
      <c r="E55" s="196">
        <v>8</v>
      </c>
      <c r="F55" s="196" t="s">
        <v>1567</v>
      </c>
      <c r="G55" s="196" t="s">
        <v>151</v>
      </c>
      <c r="H55" s="196" t="s">
        <v>865</v>
      </c>
      <c r="I55" s="344" t="str">
        <f>PROPER("MARIA EUGENIA HENAO SUAREZ")</f>
        <v>Maria Eugenia Henao Suarez</v>
      </c>
      <c r="J55" s="345">
        <v>43701966</v>
      </c>
      <c r="K55" s="196" t="s">
        <v>1191</v>
      </c>
      <c r="L55" s="178"/>
      <c r="M55" s="283"/>
      <c r="N55" s="196" t="s">
        <v>1588</v>
      </c>
      <c r="O55" s="345">
        <v>3178233227</v>
      </c>
      <c r="P55" s="196"/>
      <c r="Q55" s="196" t="s">
        <v>810</v>
      </c>
      <c r="R55" s="334" t="s">
        <v>1585</v>
      </c>
      <c r="S55" s="335" t="s">
        <v>1585</v>
      </c>
      <c r="T55" s="196"/>
      <c r="U55" s="222" t="s">
        <v>160</v>
      </c>
      <c r="V55" s="144" t="s">
        <v>210</v>
      </c>
    </row>
    <row r="56" spans="4:22">
      <c r="D56" s="289"/>
      <c r="E56" s="196">
        <v>8</v>
      </c>
      <c r="F56" s="196" t="s">
        <v>1567</v>
      </c>
      <c r="G56" s="196" t="s">
        <v>151</v>
      </c>
      <c r="H56" s="196" t="s">
        <v>865</v>
      </c>
      <c r="I56" s="344" t="str">
        <f>PROPER("TERESA DE JESUS PAMPLONA CASTAÑO")</f>
        <v>Teresa De Jesus Pamplona Castaño</v>
      </c>
      <c r="J56" s="345">
        <v>21663960</v>
      </c>
      <c r="K56" s="196" t="s">
        <v>1191</v>
      </c>
      <c r="L56" s="178"/>
      <c r="M56" s="283"/>
      <c r="N56" s="196" t="s">
        <v>1588</v>
      </c>
      <c r="O56" s="345">
        <v>3178233227</v>
      </c>
      <c r="P56" s="196"/>
      <c r="Q56" s="196" t="s">
        <v>810</v>
      </c>
      <c r="R56" s="334" t="s">
        <v>1585</v>
      </c>
      <c r="S56" s="335" t="s">
        <v>1585</v>
      </c>
      <c r="T56" s="196"/>
      <c r="U56" s="222" t="s">
        <v>160</v>
      </c>
      <c r="V56" s="144" t="s">
        <v>210</v>
      </c>
    </row>
    <row r="57" spans="4:22">
      <c r="D57" s="289"/>
      <c r="E57" s="196">
        <v>8</v>
      </c>
      <c r="F57" s="196" t="s">
        <v>1567</v>
      </c>
      <c r="G57" s="196" t="s">
        <v>151</v>
      </c>
      <c r="H57" s="196" t="s">
        <v>865</v>
      </c>
      <c r="I57" s="344" t="str">
        <f>PROPER("STEFANIA RENDON AGUDELO")</f>
        <v>Stefania Rendon Agudelo</v>
      </c>
      <c r="J57" s="345">
        <v>1017250037</v>
      </c>
      <c r="K57" s="196" t="s">
        <v>1191</v>
      </c>
      <c r="L57" s="178"/>
      <c r="M57" s="283"/>
      <c r="N57" s="196" t="s">
        <v>1588</v>
      </c>
      <c r="O57" s="345">
        <v>3013402380</v>
      </c>
      <c r="P57" s="196"/>
      <c r="Q57" s="196" t="s">
        <v>810</v>
      </c>
      <c r="R57" s="334" t="s">
        <v>1585</v>
      </c>
      <c r="S57" s="335" t="s">
        <v>1585</v>
      </c>
      <c r="T57" s="196"/>
      <c r="U57" s="222" t="s">
        <v>160</v>
      </c>
      <c r="V57" s="144" t="s">
        <v>210</v>
      </c>
    </row>
    <row r="58" spans="4:22">
      <c r="D58" s="289"/>
      <c r="E58" s="196">
        <v>8</v>
      </c>
      <c r="F58" s="196" t="s">
        <v>1567</v>
      </c>
      <c r="G58" s="196" t="s">
        <v>151</v>
      </c>
      <c r="H58" s="196" t="s">
        <v>865</v>
      </c>
      <c r="I58" s="344" t="str">
        <f>PROPER("DEBYS JOHANA HENAO RODRIGUEZ")</f>
        <v>Debys Johana Henao Rodriguez</v>
      </c>
      <c r="J58" s="345">
        <v>1128463228</v>
      </c>
      <c r="K58" s="196" t="s">
        <v>1191</v>
      </c>
      <c r="L58" s="178"/>
      <c r="M58" s="283"/>
      <c r="N58" s="196" t="s">
        <v>1588</v>
      </c>
      <c r="O58" s="345">
        <v>3108934503</v>
      </c>
      <c r="P58" s="196"/>
      <c r="Q58" s="196" t="s">
        <v>810</v>
      </c>
      <c r="R58" s="334" t="s">
        <v>1585</v>
      </c>
      <c r="S58" s="335" t="s">
        <v>1585</v>
      </c>
      <c r="T58" s="196"/>
      <c r="U58" s="222" t="s">
        <v>160</v>
      </c>
      <c r="V58" s="144" t="s">
        <v>210</v>
      </c>
    </row>
    <row r="59" spans="4:22">
      <c r="D59" s="755" t="s">
        <v>2290</v>
      </c>
      <c r="E59" s="755">
        <v>8</v>
      </c>
      <c r="F59" s="755" t="s">
        <v>1567</v>
      </c>
      <c r="G59" s="755" t="s">
        <v>151</v>
      </c>
      <c r="H59" s="841" t="s">
        <v>1557</v>
      </c>
      <c r="I59" s="842" t="str">
        <f>PROPER("FABER NORVEY CATAÑO CASTRILLON")</f>
        <v>Faber Norvey Cataño Castrillon</v>
      </c>
      <c r="J59" s="755">
        <v>71752163</v>
      </c>
      <c r="K59" s="765" t="s">
        <v>1187</v>
      </c>
      <c r="L59" s="757"/>
      <c r="M59" s="755"/>
      <c r="N59" s="842" t="s">
        <v>1588</v>
      </c>
      <c r="O59" s="755">
        <v>3117791930</v>
      </c>
      <c r="P59" s="755"/>
      <c r="Q59" s="836" t="s">
        <v>810</v>
      </c>
      <c r="R59" s="837" t="s">
        <v>1585</v>
      </c>
      <c r="S59" s="755" t="s">
        <v>1585</v>
      </c>
      <c r="T59" s="760"/>
      <c r="U59" s="760" t="s">
        <v>166</v>
      </c>
      <c r="V59" s="761" t="s">
        <v>210</v>
      </c>
    </row>
    <row r="60" spans="4:22">
      <c r="D60" s="289"/>
      <c r="E60" s="137">
        <v>8</v>
      </c>
      <c r="F60" s="137" t="s">
        <v>1567</v>
      </c>
      <c r="G60" s="137" t="s">
        <v>151</v>
      </c>
      <c r="H60" s="336" t="s">
        <v>1557</v>
      </c>
      <c r="I60" s="337" t="str">
        <f>PROPER("SANDRA MILENA ESTRADA CUARTAS")</f>
        <v>Sandra Milena Estrada Cuartas</v>
      </c>
      <c r="J60" s="137">
        <v>32255322</v>
      </c>
      <c r="K60" s="179" t="s">
        <v>1191</v>
      </c>
      <c r="L60" s="286"/>
      <c r="M60" s="137"/>
      <c r="N60" s="337" t="s">
        <v>1588</v>
      </c>
      <c r="O60" s="137">
        <v>3017775476</v>
      </c>
      <c r="P60" s="137"/>
      <c r="Q60" s="338" t="s">
        <v>810</v>
      </c>
      <c r="R60" s="339" t="s">
        <v>1585</v>
      </c>
      <c r="S60" s="137" t="s">
        <v>1585</v>
      </c>
      <c r="T60" s="223"/>
      <c r="U60" s="223" t="s">
        <v>160</v>
      </c>
      <c r="V60" s="144" t="s">
        <v>210</v>
      </c>
    </row>
    <row r="61" spans="4:22">
      <c r="D61" s="289"/>
      <c r="E61" s="137">
        <v>8</v>
      </c>
      <c r="F61" s="137" t="s">
        <v>1567</v>
      </c>
      <c r="G61" s="137" t="s">
        <v>151</v>
      </c>
      <c r="H61" s="137" t="s">
        <v>1557</v>
      </c>
      <c r="I61" s="336" t="str">
        <f>PROPER("OLGA PATRICIA ARIAS ECHAVARRIA")</f>
        <v>Olga Patricia Arias Echavarria</v>
      </c>
      <c r="J61" s="337">
        <v>43666738</v>
      </c>
      <c r="K61" s="137" t="s">
        <v>1191</v>
      </c>
      <c r="L61" s="179"/>
      <c r="M61" s="286"/>
      <c r="N61" s="137" t="s">
        <v>1588</v>
      </c>
      <c r="O61" s="337">
        <v>3122451557</v>
      </c>
      <c r="P61" s="137"/>
      <c r="Q61" s="137" t="s">
        <v>810</v>
      </c>
      <c r="R61" s="338" t="s">
        <v>1585</v>
      </c>
      <c r="S61" s="339" t="s">
        <v>1585</v>
      </c>
      <c r="T61" s="137"/>
      <c r="U61" s="223" t="s">
        <v>160</v>
      </c>
      <c r="V61" s="144" t="s">
        <v>210</v>
      </c>
    </row>
    <row r="62" spans="4:22">
      <c r="D62" s="289"/>
      <c r="E62" s="137">
        <v>8</v>
      </c>
      <c r="F62" s="137" t="s">
        <v>1567</v>
      </c>
      <c r="G62" s="137" t="s">
        <v>151</v>
      </c>
      <c r="H62" s="137" t="s">
        <v>1557</v>
      </c>
      <c r="I62" s="336" t="str">
        <f>PROPER("EVELIO DE JESUS PULGARIN CORREA")</f>
        <v>Evelio De Jesus Pulgarin Correa</v>
      </c>
      <c r="J62" s="337">
        <v>33119356</v>
      </c>
      <c r="K62" s="137" t="s">
        <v>1187</v>
      </c>
      <c r="L62" s="179"/>
      <c r="M62" s="286"/>
      <c r="N62" s="137" t="s">
        <v>1588</v>
      </c>
      <c r="O62" s="337">
        <v>3194631114</v>
      </c>
      <c r="P62" s="137"/>
      <c r="Q62" s="137" t="s">
        <v>810</v>
      </c>
      <c r="R62" s="338" t="s">
        <v>1585</v>
      </c>
      <c r="S62" s="339" t="s">
        <v>1585</v>
      </c>
      <c r="T62" s="137"/>
      <c r="U62" s="223" t="s">
        <v>160</v>
      </c>
      <c r="V62" s="144" t="s">
        <v>210</v>
      </c>
    </row>
    <row r="63" spans="4:22">
      <c r="D63" s="289"/>
      <c r="E63" s="137">
        <v>8</v>
      </c>
      <c r="F63" s="137" t="s">
        <v>1567</v>
      </c>
      <c r="G63" s="137" t="s">
        <v>151</v>
      </c>
      <c r="H63" s="137" t="s">
        <v>1557</v>
      </c>
      <c r="I63" s="336" t="str">
        <f>PROPER("ANA MARIA CANO AVENDAÑO")</f>
        <v>Ana Maria Cano Avendaño</v>
      </c>
      <c r="J63" s="337">
        <v>42799301</v>
      </c>
      <c r="K63" s="137" t="s">
        <v>1191</v>
      </c>
      <c r="L63" s="179"/>
      <c r="M63" s="286"/>
      <c r="N63" s="137" t="s">
        <v>1588</v>
      </c>
      <c r="O63" s="337">
        <v>3004972818</v>
      </c>
      <c r="P63" s="137"/>
      <c r="Q63" s="137" t="s">
        <v>810</v>
      </c>
      <c r="R63" s="338" t="s">
        <v>1585</v>
      </c>
      <c r="S63" s="339" t="s">
        <v>1585</v>
      </c>
      <c r="T63" s="137"/>
      <c r="U63" s="223" t="s">
        <v>160</v>
      </c>
      <c r="V63" s="144" t="s">
        <v>210</v>
      </c>
    </row>
    <row r="64" spans="4:22">
      <c r="D64" s="289"/>
      <c r="E64" s="137">
        <v>8</v>
      </c>
      <c r="F64" s="137" t="s">
        <v>1567</v>
      </c>
      <c r="G64" s="137" t="s">
        <v>151</v>
      </c>
      <c r="H64" s="137" t="s">
        <v>1557</v>
      </c>
      <c r="I64" s="336" t="str">
        <f>PROPER("CRISTIAN SANTIAGO RAMIREZ AMAYA")</f>
        <v>Cristian Santiago Ramirez Amaya</v>
      </c>
      <c r="J64" s="337">
        <v>1037600250</v>
      </c>
      <c r="K64" s="137" t="s">
        <v>1187</v>
      </c>
      <c r="L64" s="179"/>
      <c r="M64" s="286"/>
      <c r="N64" s="137" t="s">
        <v>1588</v>
      </c>
      <c r="O64" s="337">
        <v>3023358297</v>
      </c>
      <c r="P64" s="137"/>
      <c r="Q64" s="137" t="s">
        <v>810</v>
      </c>
      <c r="R64" s="338" t="s">
        <v>1585</v>
      </c>
      <c r="S64" s="339" t="s">
        <v>1585</v>
      </c>
      <c r="T64" s="137"/>
      <c r="U64" s="223" t="s">
        <v>160</v>
      </c>
      <c r="V64" s="144" t="s">
        <v>210</v>
      </c>
    </row>
    <row r="65" spans="4:22">
      <c r="D65" s="824" t="s">
        <v>2290</v>
      </c>
      <c r="E65" s="755">
        <v>8</v>
      </c>
      <c r="F65" s="755" t="s">
        <v>1567</v>
      </c>
      <c r="G65" s="755" t="s">
        <v>151</v>
      </c>
      <c r="H65" s="755" t="s">
        <v>866</v>
      </c>
      <c r="I65" s="841" t="str">
        <f>PROPER("MARIA JOSE SEPULVEDA MARIN")</f>
        <v>Maria Jose Sepulveda Marin</v>
      </c>
      <c r="J65" s="842">
        <v>1020109454</v>
      </c>
      <c r="K65" s="755" t="s">
        <v>1191</v>
      </c>
      <c r="L65" s="765"/>
      <c r="M65" s="757"/>
      <c r="N65" s="755" t="s">
        <v>1588</v>
      </c>
      <c r="O65" s="842">
        <v>3019564459</v>
      </c>
      <c r="P65" s="755"/>
      <c r="Q65" s="755"/>
      <c r="R65" s="836" t="s">
        <v>1585</v>
      </c>
      <c r="S65" s="837" t="s">
        <v>1585</v>
      </c>
      <c r="T65" s="755"/>
      <c r="U65" s="760" t="s">
        <v>166</v>
      </c>
      <c r="V65" s="761" t="s">
        <v>210</v>
      </c>
    </row>
    <row r="66" spans="4:22">
      <c r="D66" s="289"/>
      <c r="E66" s="200">
        <v>8</v>
      </c>
      <c r="F66" s="200" t="s">
        <v>1567</v>
      </c>
      <c r="G66" s="200" t="s">
        <v>151</v>
      </c>
      <c r="H66" s="200" t="s">
        <v>866</v>
      </c>
      <c r="I66" s="340" t="str">
        <f>PROPER("MARINA CONTRERAS JIMENEZ")</f>
        <v>Marina Contreras Jimenez</v>
      </c>
      <c r="J66" s="341">
        <v>42755755</v>
      </c>
      <c r="K66" s="200" t="s">
        <v>1191</v>
      </c>
      <c r="L66" s="191"/>
      <c r="M66" s="238"/>
      <c r="N66" s="200" t="s">
        <v>1588</v>
      </c>
      <c r="O66" s="341">
        <v>3146887178</v>
      </c>
      <c r="P66" s="200"/>
      <c r="Q66" s="200"/>
      <c r="R66" s="327" t="s">
        <v>1585</v>
      </c>
      <c r="S66" s="328" t="s">
        <v>1585</v>
      </c>
      <c r="T66" s="200"/>
      <c r="U66" s="224" t="s">
        <v>160</v>
      </c>
      <c r="V66" s="144" t="s">
        <v>210</v>
      </c>
    </row>
    <row r="67" spans="4:22">
      <c r="D67" s="289"/>
      <c r="E67" s="200">
        <v>8</v>
      </c>
      <c r="F67" s="200" t="s">
        <v>1567</v>
      </c>
      <c r="G67" s="200" t="s">
        <v>151</v>
      </c>
      <c r="H67" s="200" t="s">
        <v>866</v>
      </c>
      <c r="I67" s="340" t="str">
        <f>PROPER("AMANTINA DEL SOCORRO RENGIFO DE MARIN")</f>
        <v>Amantina Del Socorro Rengifo De Marin</v>
      </c>
      <c r="J67" s="341">
        <v>21963519</v>
      </c>
      <c r="K67" s="200" t="s">
        <v>1191</v>
      </c>
      <c r="L67" s="191"/>
      <c r="M67" s="238"/>
      <c r="N67" s="200" t="s">
        <v>1588</v>
      </c>
      <c r="O67" s="341">
        <v>3113461244</v>
      </c>
      <c r="P67" s="200"/>
      <c r="Q67" s="200"/>
      <c r="R67" s="327" t="s">
        <v>1585</v>
      </c>
      <c r="S67" s="328" t="s">
        <v>1585</v>
      </c>
      <c r="T67" s="200"/>
      <c r="U67" s="224" t="s">
        <v>160</v>
      </c>
      <c r="V67" s="144" t="s">
        <v>210</v>
      </c>
    </row>
    <row r="68" spans="4:22">
      <c r="D68" s="289"/>
      <c r="E68" s="200">
        <v>8</v>
      </c>
      <c r="F68" s="200" t="s">
        <v>1567</v>
      </c>
      <c r="G68" s="200" t="s">
        <v>151</v>
      </c>
      <c r="H68" s="200" t="s">
        <v>866</v>
      </c>
      <c r="I68" s="340" t="str">
        <f>PROPER("BRAHYAN ALEJANDRO QUINTERO BETANCUR")</f>
        <v>Brahyan Alejandro Quintero Betancur</v>
      </c>
      <c r="J68" s="341">
        <v>1025761258</v>
      </c>
      <c r="K68" s="200" t="s">
        <v>1187</v>
      </c>
      <c r="L68" s="191"/>
      <c r="M68" s="238"/>
      <c r="N68" s="200" t="s">
        <v>1588</v>
      </c>
      <c r="O68" s="341">
        <v>3002147762</v>
      </c>
      <c r="P68" s="200"/>
      <c r="Q68" s="200"/>
      <c r="R68" s="327" t="s">
        <v>1585</v>
      </c>
      <c r="S68" s="328" t="s">
        <v>1585</v>
      </c>
      <c r="T68" s="200"/>
      <c r="U68" s="224" t="s">
        <v>160</v>
      </c>
      <c r="V68" s="144" t="s">
        <v>210</v>
      </c>
    </row>
    <row r="69" spans="4:22">
      <c r="D69" s="289"/>
      <c r="E69" s="200">
        <v>8</v>
      </c>
      <c r="F69" s="200" t="s">
        <v>1567</v>
      </c>
      <c r="G69" s="200" t="s">
        <v>151</v>
      </c>
      <c r="H69" s="200" t="s">
        <v>866</v>
      </c>
      <c r="I69" s="340" t="str">
        <f>PROPER("JOHN ALEXANDER LEZCANO GALLEGO")</f>
        <v>John Alexander Lezcano Gallego</v>
      </c>
      <c r="J69" s="341">
        <v>71261225</v>
      </c>
      <c r="K69" s="200" t="s">
        <v>1187</v>
      </c>
      <c r="L69" s="191"/>
      <c r="M69" s="238"/>
      <c r="N69" s="200" t="s">
        <v>1588</v>
      </c>
      <c r="O69" s="341">
        <v>3155122290</v>
      </c>
      <c r="P69" s="200"/>
      <c r="Q69" s="200"/>
      <c r="R69" s="327" t="s">
        <v>1585</v>
      </c>
      <c r="S69" s="328" t="s">
        <v>1585</v>
      </c>
      <c r="T69" s="200"/>
      <c r="U69" s="224" t="s">
        <v>160</v>
      </c>
      <c r="V69" s="144" t="s">
        <v>210</v>
      </c>
    </row>
    <row r="70" spans="4:22">
      <c r="D70" s="289"/>
      <c r="E70" s="200">
        <v>8</v>
      </c>
      <c r="F70" s="200" t="s">
        <v>1567</v>
      </c>
      <c r="G70" s="200" t="s">
        <v>151</v>
      </c>
      <c r="H70" s="200" t="s">
        <v>866</v>
      </c>
      <c r="I70" s="340" t="str">
        <f>PROPER("DAIRO ALBERTO JIMENEZ HERNANDEZ")</f>
        <v>Dairo Alberto Jimenez Hernandez</v>
      </c>
      <c r="J70" s="341">
        <v>71607252</v>
      </c>
      <c r="K70" s="200" t="s">
        <v>1187</v>
      </c>
      <c r="L70" s="191"/>
      <c r="M70" s="238"/>
      <c r="N70" s="200" t="s">
        <v>1588</v>
      </c>
      <c r="O70" s="341">
        <v>3117744359</v>
      </c>
      <c r="P70" s="200"/>
      <c r="Q70" s="200"/>
      <c r="R70" s="327" t="s">
        <v>1585</v>
      </c>
      <c r="S70" s="328" t="s">
        <v>1585</v>
      </c>
      <c r="T70" s="200"/>
      <c r="U70" s="224" t="s">
        <v>160</v>
      </c>
      <c r="V70" s="144" t="s">
        <v>210</v>
      </c>
    </row>
    <row r="71" spans="4:22">
      <c r="D71" s="824" t="s">
        <v>2290</v>
      </c>
      <c r="E71" s="755">
        <v>8</v>
      </c>
      <c r="F71" s="755" t="s">
        <v>1567</v>
      </c>
      <c r="G71" s="755" t="s">
        <v>151</v>
      </c>
      <c r="H71" s="755" t="s">
        <v>867</v>
      </c>
      <c r="I71" s="841" t="str">
        <f>PROPER("MARTIN ANDRADE GARCIA")</f>
        <v>Martin Andrade Garcia</v>
      </c>
      <c r="J71" s="842">
        <v>11830096</v>
      </c>
      <c r="K71" s="755" t="s">
        <v>1187</v>
      </c>
      <c r="L71" s="765"/>
      <c r="M71" s="757"/>
      <c r="N71" s="755" t="s">
        <v>1588</v>
      </c>
      <c r="O71" s="842">
        <v>3103982007</v>
      </c>
      <c r="P71" s="755"/>
      <c r="Q71" s="755"/>
      <c r="R71" s="836" t="s">
        <v>1585</v>
      </c>
      <c r="S71" s="837" t="s">
        <v>1585</v>
      </c>
      <c r="T71" s="755"/>
      <c r="U71" s="760" t="s">
        <v>166</v>
      </c>
      <c r="V71" s="761" t="s">
        <v>210</v>
      </c>
    </row>
    <row r="72" spans="4:22">
      <c r="D72" s="289"/>
      <c r="E72" s="195">
        <v>8</v>
      </c>
      <c r="F72" s="195" t="s">
        <v>1567</v>
      </c>
      <c r="G72" s="195" t="s">
        <v>151</v>
      </c>
      <c r="H72" s="195" t="s">
        <v>867</v>
      </c>
      <c r="I72" s="342" t="str">
        <f>PROPER("JUAN SANTOS LOBON MORENO")</f>
        <v>Juan Santos Lobon Moreno</v>
      </c>
      <c r="J72" s="343">
        <v>11636641</v>
      </c>
      <c r="K72" s="195" t="s">
        <v>1187</v>
      </c>
      <c r="L72" s="177"/>
      <c r="M72" s="239"/>
      <c r="N72" s="195" t="s">
        <v>1588</v>
      </c>
      <c r="O72" s="343">
        <v>3113878511</v>
      </c>
      <c r="P72" s="195"/>
      <c r="Q72" s="195"/>
      <c r="R72" s="330" t="s">
        <v>1585</v>
      </c>
      <c r="S72" s="331" t="s">
        <v>1585</v>
      </c>
      <c r="T72" s="195"/>
      <c r="U72" s="221" t="s">
        <v>160</v>
      </c>
      <c r="V72" s="144" t="s">
        <v>210</v>
      </c>
    </row>
    <row r="73" spans="4:22">
      <c r="D73" s="289"/>
      <c r="E73" s="195">
        <v>8</v>
      </c>
      <c r="F73" s="195" t="s">
        <v>1567</v>
      </c>
      <c r="G73" s="195" t="s">
        <v>151</v>
      </c>
      <c r="H73" s="195" t="s">
        <v>867</v>
      </c>
      <c r="I73" s="342" t="str">
        <f>PROPER("ORFILIA CUBILLOS CARDONA")</f>
        <v>Orfilia Cubillos Cardona</v>
      </c>
      <c r="J73" s="343">
        <v>43085231</v>
      </c>
      <c r="K73" s="195" t="s">
        <v>1191</v>
      </c>
      <c r="L73" s="177"/>
      <c r="M73" s="239"/>
      <c r="N73" s="195" t="s">
        <v>1588</v>
      </c>
      <c r="O73" s="343">
        <v>3195795711</v>
      </c>
      <c r="P73" s="195"/>
      <c r="Q73" s="195"/>
      <c r="R73" s="330" t="s">
        <v>1585</v>
      </c>
      <c r="S73" s="331" t="s">
        <v>1585</v>
      </c>
      <c r="T73" s="195"/>
      <c r="U73" s="221" t="s">
        <v>160</v>
      </c>
      <c r="V73" s="144" t="s">
        <v>210</v>
      </c>
    </row>
    <row r="74" spans="4:22">
      <c r="D74" s="289"/>
      <c r="E74" s="195">
        <v>8</v>
      </c>
      <c r="F74" s="195" t="s">
        <v>1567</v>
      </c>
      <c r="G74" s="195" t="s">
        <v>151</v>
      </c>
      <c r="H74" s="195" t="s">
        <v>867</v>
      </c>
      <c r="I74" s="342" t="str">
        <f>PROPER("DIEGO DE JESUS LONDOÑO RUIZ")</f>
        <v>Diego De Jesus Londoño Ruiz</v>
      </c>
      <c r="J74" s="343">
        <v>70107083</v>
      </c>
      <c r="K74" s="195" t="s">
        <v>1187</v>
      </c>
      <c r="L74" s="177"/>
      <c r="M74" s="239"/>
      <c r="N74" s="195" t="s">
        <v>1588</v>
      </c>
      <c r="O74" s="343">
        <v>3193309702</v>
      </c>
      <c r="P74" s="195"/>
      <c r="Q74" s="195"/>
      <c r="R74" s="330" t="s">
        <v>1585</v>
      </c>
      <c r="S74" s="331" t="s">
        <v>1585</v>
      </c>
      <c r="T74" s="195"/>
      <c r="U74" s="221" t="s">
        <v>160</v>
      </c>
      <c r="V74" s="144" t="s">
        <v>210</v>
      </c>
    </row>
    <row r="75" spans="4:22">
      <c r="D75" s="289"/>
      <c r="E75" s="195">
        <v>8</v>
      </c>
      <c r="F75" s="195" t="s">
        <v>1567</v>
      </c>
      <c r="G75" s="195" t="s">
        <v>151</v>
      </c>
      <c r="H75" s="195" t="s">
        <v>867</v>
      </c>
      <c r="I75" s="342" t="str">
        <f>PROPER("NELSON MANUEL RUDAS CABALLERO")</f>
        <v>Nelson Manuel Rudas Caballero</v>
      </c>
      <c r="J75" s="343">
        <v>73141101</v>
      </c>
      <c r="K75" s="195" t="s">
        <v>1187</v>
      </c>
      <c r="L75" s="177"/>
      <c r="M75" s="239"/>
      <c r="N75" s="195" t="s">
        <v>1588</v>
      </c>
      <c r="O75" s="343">
        <v>3122599877</v>
      </c>
      <c r="P75" s="195"/>
      <c r="Q75" s="195"/>
      <c r="R75" s="330" t="s">
        <v>1585</v>
      </c>
      <c r="S75" s="331" t="s">
        <v>1585</v>
      </c>
      <c r="T75" s="195"/>
      <c r="U75" s="221" t="s">
        <v>160</v>
      </c>
      <c r="V75" s="144" t="s">
        <v>210</v>
      </c>
    </row>
    <row r="76" spans="4:22">
      <c r="D76" s="289"/>
      <c r="E76" s="195">
        <v>8</v>
      </c>
      <c r="F76" s="195" t="s">
        <v>1567</v>
      </c>
      <c r="G76" s="195" t="s">
        <v>151</v>
      </c>
      <c r="H76" s="195" t="s">
        <v>867</v>
      </c>
      <c r="I76" s="342" t="str">
        <f>PROPER("LISETH TATIANA DEVIA AVILES")</f>
        <v>Liseth Tatiana Devia Aviles</v>
      </c>
      <c r="J76" s="343">
        <v>1017255958</v>
      </c>
      <c r="K76" s="195" t="s">
        <v>1191</v>
      </c>
      <c r="L76" s="177"/>
      <c r="M76" s="239"/>
      <c r="N76" s="195" t="s">
        <v>1588</v>
      </c>
      <c r="O76" s="343">
        <v>3028462402</v>
      </c>
      <c r="P76" s="195"/>
      <c r="Q76" s="195"/>
      <c r="R76" s="330" t="s">
        <v>1585</v>
      </c>
      <c r="S76" s="331" t="s">
        <v>1585</v>
      </c>
      <c r="T76" s="195"/>
      <c r="U76" s="221" t="s">
        <v>160</v>
      </c>
      <c r="V76" s="144" t="s">
        <v>210</v>
      </c>
    </row>
    <row r="77" spans="4:22">
      <c r="D77" s="824" t="s">
        <v>2290</v>
      </c>
      <c r="E77" s="755">
        <v>8</v>
      </c>
      <c r="F77" s="755" t="s">
        <v>1567</v>
      </c>
      <c r="G77" s="755" t="s">
        <v>151</v>
      </c>
      <c r="H77" s="755" t="s">
        <v>1918</v>
      </c>
      <c r="I77" s="841" t="str">
        <f>PROPER("LUDIBIA HENAO GRISALES")</f>
        <v>Ludibia Henao Grisales</v>
      </c>
      <c r="J77" s="842">
        <v>43462206</v>
      </c>
      <c r="K77" s="755" t="s">
        <v>1191</v>
      </c>
      <c r="L77" s="765"/>
      <c r="M77" s="757"/>
      <c r="N77" s="755" t="s">
        <v>1588</v>
      </c>
      <c r="O77" s="842">
        <v>3103665352</v>
      </c>
      <c r="P77" s="755"/>
      <c r="Q77" s="755"/>
      <c r="R77" s="836" t="s">
        <v>1585</v>
      </c>
      <c r="S77" s="837" t="s">
        <v>1585</v>
      </c>
      <c r="T77" s="755"/>
      <c r="U77" s="760" t="s">
        <v>166</v>
      </c>
      <c r="V77" s="761" t="s">
        <v>210</v>
      </c>
    </row>
    <row r="78" spans="4:22">
      <c r="D78" s="289"/>
      <c r="E78" s="196">
        <v>8</v>
      </c>
      <c r="F78" s="196" t="s">
        <v>1567</v>
      </c>
      <c r="G78" s="196" t="s">
        <v>151</v>
      </c>
      <c r="H78" s="196" t="s">
        <v>1918</v>
      </c>
      <c r="I78" s="196" t="str">
        <f>PROPER("GLORIA YALILE OSPINA RIVERA")</f>
        <v>Gloria Yalile Ospina Rivera</v>
      </c>
      <c r="J78" s="350">
        <v>24870785</v>
      </c>
      <c r="K78" s="196" t="s">
        <v>1191</v>
      </c>
      <c r="L78" s="178"/>
      <c r="M78" s="283"/>
      <c r="N78" s="196" t="s">
        <v>1588</v>
      </c>
      <c r="O78" s="350">
        <v>3015059256</v>
      </c>
      <c r="P78" s="196"/>
      <c r="Q78" s="196"/>
      <c r="R78" s="838" t="s">
        <v>1585</v>
      </c>
      <c r="S78" s="839" t="s">
        <v>1585</v>
      </c>
      <c r="T78" s="196"/>
      <c r="U78" s="222" t="s">
        <v>160</v>
      </c>
      <c r="V78" s="144" t="s">
        <v>210</v>
      </c>
    </row>
    <row r="79" spans="4:22">
      <c r="D79" s="289"/>
      <c r="E79" s="196">
        <v>8</v>
      </c>
      <c r="F79" s="196" t="s">
        <v>1567</v>
      </c>
      <c r="G79" s="196" t="s">
        <v>151</v>
      </c>
      <c r="H79" s="196" t="s">
        <v>1918</v>
      </c>
      <c r="I79" s="344" t="str">
        <f>PROPER("PAOLA ANDREA OSORIO CALLEJAS")</f>
        <v>Paola Andrea Osorio Callejas</v>
      </c>
      <c r="J79" s="345">
        <v>32143061</v>
      </c>
      <c r="K79" s="196" t="s">
        <v>1191</v>
      </c>
      <c r="L79" s="178"/>
      <c r="M79" s="283"/>
      <c r="N79" s="196" t="s">
        <v>1588</v>
      </c>
      <c r="O79" s="345">
        <v>3012743992</v>
      </c>
      <c r="P79" s="196"/>
      <c r="Q79" s="196"/>
      <c r="R79" s="334" t="s">
        <v>1585</v>
      </c>
      <c r="S79" s="335" t="s">
        <v>1585</v>
      </c>
      <c r="T79" s="196"/>
      <c r="U79" s="222" t="s">
        <v>160</v>
      </c>
      <c r="V79" s="144" t="s">
        <v>210</v>
      </c>
    </row>
    <row r="80" spans="4:22">
      <c r="D80" s="289"/>
      <c r="E80" s="196">
        <v>8</v>
      </c>
      <c r="F80" s="196" t="s">
        <v>1567</v>
      </c>
      <c r="G80" s="196" t="s">
        <v>151</v>
      </c>
      <c r="H80" s="196" t="s">
        <v>1918</v>
      </c>
      <c r="I80" s="344" t="str">
        <f>PROPER("KEINER ANDRES OSPINA ARANGO")</f>
        <v>Keiner Andres Ospina Arango</v>
      </c>
      <c r="J80" s="345">
        <v>1033179840</v>
      </c>
      <c r="K80" s="196" t="s">
        <v>1187</v>
      </c>
      <c r="L80" s="178"/>
      <c r="M80" s="283"/>
      <c r="N80" s="196" t="s">
        <v>1588</v>
      </c>
      <c r="O80" s="345">
        <v>3195979653</v>
      </c>
      <c r="P80" s="196"/>
      <c r="Q80" s="196"/>
      <c r="R80" s="334" t="s">
        <v>1585</v>
      </c>
      <c r="S80" s="335" t="s">
        <v>1585</v>
      </c>
      <c r="T80" s="196"/>
      <c r="U80" s="222" t="s">
        <v>160</v>
      </c>
      <c r="V80" s="144" t="s">
        <v>210</v>
      </c>
    </row>
    <row r="81" spans="4:22">
      <c r="D81" s="289"/>
      <c r="E81" s="196">
        <v>8</v>
      </c>
      <c r="F81" s="196" t="s">
        <v>1567</v>
      </c>
      <c r="G81" s="196" t="s">
        <v>151</v>
      </c>
      <c r="H81" s="196" t="s">
        <v>1918</v>
      </c>
      <c r="I81" s="344" t="str">
        <f>PROPER("EDWAR MACHADO HENAO")</f>
        <v>Edwar Machado Henao</v>
      </c>
      <c r="J81" s="345">
        <v>1000537621</v>
      </c>
      <c r="K81" s="196" t="s">
        <v>1187</v>
      </c>
      <c r="L81" s="178"/>
      <c r="M81" s="283"/>
      <c r="N81" s="196" t="s">
        <v>1588</v>
      </c>
      <c r="O81" s="345">
        <v>3103665352</v>
      </c>
      <c r="P81" s="196"/>
      <c r="Q81" s="196"/>
      <c r="R81" s="334" t="s">
        <v>1585</v>
      </c>
      <c r="S81" s="335" t="s">
        <v>1585</v>
      </c>
      <c r="T81" s="196"/>
      <c r="U81" s="222" t="s">
        <v>160</v>
      </c>
      <c r="V81" s="144" t="s">
        <v>210</v>
      </c>
    </row>
    <row r="82" spans="4:22">
      <c r="D82" s="289"/>
      <c r="E82" s="196">
        <v>8</v>
      </c>
      <c r="F82" s="196" t="s">
        <v>1567</v>
      </c>
      <c r="G82" s="196" t="s">
        <v>151</v>
      </c>
      <c r="H82" s="196" t="s">
        <v>1918</v>
      </c>
      <c r="I82" s="344" t="str">
        <f>PROPER("JHON ALEX MARTINEZ OSPINA")</f>
        <v>Jhon Alex Martinez Ospina</v>
      </c>
      <c r="J82" s="345">
        <v>105884208</v>
      </c>
      <c r="K82" s="196" t="s">
        <v>1187</v>
      </c>
      <c r="L82" s="178"/>
      <c r="M82" s="283"/>
      <c r="N82" s="196" t="s">
        <v>1588</v>
      </c>
      <c r="O82" s="345">
        <v>3015059256</v>
      </c>
      <c r="P82" s="196"/>
      <c r="Q82" s="196"/>
      <c r="R82" s="334" t="s">
        <v>1585</v>
      </c>
      <c r="S82" s="335" t="s">
        <v>1585</v>
      </c>
      <c r="T82" s="196"/>
      <c r="U82" s="222" t="s">
        <v>160</v>
      </c>
      <c r="V82" s="144" t="s">
        <v>210</v>
      </c>
    </row>
    <row r="83" spans="4:22">
      <c r="D83" s="824" t="s">
        <v>2290</v>
      </c>
      <c r="E83" s="755">
        <v>8</v>
      </c>
      <c r="F83" s="755" t="s">
        <v>1567</v>
      </c>
      <c r="G83" s="755" t="s">
        <v>151</v>
      </c>
      <c r="H83" s="755" t="s">
        <v>868</v>
      </c>
      <c r="I83" s="841" t="str">
        <f>PROPER("WILIN ANDERSON SALDARRIAGA MARIN")</f>
        <v>Wilin Anderson Saldarriaga Marin</v>
      </c>
      <c r="J83" s="842">
        <v>3380566</v>
      </c>
      <c r="K83" s="755" t="s">
        <v>1187</v>
      </c>
      <c r="L83" s="765"/>
      <c r="M83" s="757"/>
      <c r="N83" s="755" t="s">
        <v>1588</v>
      </c>
      <c r="O83" s="842">
        <v>3015641943</v>
      </c>
      <c r="P83" s="755"/>
      <c r="Q83" s="755" t="s">
        <v>1679</v>
      </c>
      <c r="R83" s="836" t="s">
        <v>1585</v>
      </c>
      <c r="S83" s="837" t="s">
        <v>1585</v>
      </c>
      <c r="T83" s="755"/>
      <c r="U83" s="760" t="s">
        <v>166</v>
      </c>
      <c r="V83" s="761" t="s">
        <v>210</v>
      </c>
    </row>
    <row r="84" spans="4:22">
      <c r="D84" s="289"/>
      <c r="E84" s="137">
        <v>8</v>
      </c>
      <c r="F84" s="137" t="s">
        <v>1567</v>
      </c>
      <c r="G84" s="137" t="s">
        <v>151</v>
      </c>
      <c r="H84" s="137" t="s">
        <v>868</v>
      </c>
      <c r="I84" s="336" t="str">
        <f>PROPER("BLANCA LIGIA ZAPATA ARISTIZABAL")</f>
        <v>Blanca Ligia Zapata Aristizabal</v>
      </c>
      <c r="J84" s="337">
        <v>21811862</v>
      </c>
      <c r="K84" s="137" t="s">
        <v>1191</v>
      </c>
      <c r="L84" s="179"/>
      <c r="M84" s="286"/>
      <c r="N84" s="137" t="s">
        <v>1588</v>
      </c>
      <c r="O84" s="337">
        <v>3113009536</v>
      </c>
      <c r="P84" s="137"/>
      <c r="Q84" s="137" t="s">
        <v>1679</v>
      </c>
      <c r="R84" s="338" t="s">
        <v>1585</v>
      </c>
      <c r="S84" s="339" t="s">
        <v>1585</v>
      </c>
      <c r="T84" s="137"/>
      <c r="U84" s="223" t="s">
        <v>160</v>
      </c>
      <c r="V84" s="144" t="s">
        <v>210</v>
      </c>
    </row>
    <row r="85" spans="4:22">
      <c r="D85" s="289"/>
      <c r="E85" s="137">
        <v>8</v>
      </c>
      <c r="F85" s="137" t="s">
        <v>1567</v>
      </c>
      <c r="G85" s="137" t="s">
        <v>151</v>
      </c>
      <c r="H85" s="137" t="s">
        <v>868</v>
      </c>
      <c r="I85" s="336" t="str">
        <f>PROPER("LUZ MARY HIGUITA")</f>
        <v>Luz Mary Higuita</v>
      </c>
      <c r="J85" s="337">
        <v>43740273</v>
      </c>
      <c r="K85" s="137" t="s">
        <v>1191</v>
      </c>
      <c r="L85" s="179"/>
      <c r="M85" s="286"/>
      <c r="N85" s="137" t="s">
        <v>1588</v>
      </c>
      <c r="O85" s="337">
        <v>3005963131</v>
      </c>
      <c r="P85" s="137"/>
      <c r="Q85" s="137" t="s">
        <v>1679</v>
      </c>
      <c r="R85" s="338" t="s">
        <v>1585</v>
      </c>
      <c r="S85" s="339" t="s">
        <v>1585</v>
      </c>
      <c r="T85" s="137"/>
      <c r="U85" s="223" t="s">
        <v>160</v>
      </c>
      <c r="V85" s="144" t="s">
        <v>210</v>
      </c>
    </row>
    <row r="86" spans="4:22">
      <c r="D86" s="289"/>
      <c r="E86" s="137">
        <v>8</v>
      </c>
      <c r="F86" s="137" t="s">
        <v>1567</v>
      </c>
      <c r="G86" s="137" t="s">
        <v>151</v>
      </c>
      <c r="H86" s="137" t="s">
        <v>868</v>
      </c>
      <c r="I86" s="346" t="str">
        <f>PROPER("LUCELLY MENA HINCAPIE")</f>
        <v>Lucelly Mena Hincapie</v>
      </c>
      <c r="J86" s="347">
        <v>42870464</v>
      </c>
      <c r="K86" s="137" t="s">
        <v>1191</v>
      </c>
      <c r="L86" s="179"/>
      <c r="M86" s="286"/>
      <c r="N86" s="137" t="s">
        <v>1588</v>
      </c>
      <c r="O86" s="347">
        <v>3157141475</v>
      </c>
      <c r="P86" s="137"/>
      <c r="Q86" s="137" t="s">
        <v>1679</v>
      </c>
      <c r="R86" s="338" t="s">
        <v>1585</v>
      </c>
      <c r="S86" s="339" t="s">
        <v>1585</v>
      </c>
      <c r="T86" s="137"/>
      <c r="U86" s="223" t="s">
        <v>160</v>
      </c>
      <c r="V86" s="144" t="s">
        <v>210</v>
      </c>
    </row>
    <row r="87" spans="4:22">
      <c r="D87" s="289"/>
      <c r="E87" s="137">
        <v>8</v>
      </c>
      <c r="F87" s="137" t="s">
        <v>1567</v>
      </c>
      <c r="G87" s="137" t="s">
        <v>151</v>
      </c>
      <c r="H87" s="137" t="s">
        <v>868</v>
      </c>
      <c r="I87" s="336" t="str">
        <f>PROPER("YAMILET SANCHEZ CALLE")</f>
        <v>Yamilet Sanchez Calle</v>
      </c>
      <c r="J87" s="337">
        <v>42025558</v>
      </c>
      <c r="K87" s="137" t="s">
        <v>1191</v>
      </c>
      <c r="L87" s="179"/>
      <c r="M87" s="286"/>
      <c r="N87" s="137" t="s">
        <v>1588</v>
      </c>
      <c r="O87" s="337">
        <v>3336083125</v>
      </c>
      <c r="P87" s="137"/>
      <c r="Q87" s="137" t="s">
        <v>1679</v>
      </c>
      <c r="R87" s="338" t="s">
        <v>1585</v>
      </c>
      <c r="S87" s="339" t="s">
        <v>1585</v>
      </c>
      <c r="T87" s="137"/>
      <c r="U87" s="223" t="s">
        <v>160</v>
      </c>
      <c r="V87" s="144" t="s">
        <v>210</v>
      </c>
    </row>
    <row r="88" spans="4:22">
      <c r="D88" s="289"/>
      <c r="E88" s="137">
        <v>8</v>
      </c>
      <c r="F88" s="137" t="s">
        <v>1567</v>
      </c>
      <c r="G88" s="137" t="s">
        <v>151</v>
      </c>
      <c r="H88" s="137" t="s">
        <v>868</v>
      </c>
      <c r="I88" s="336" t="str">
        <f>PROPER("MARIA LUZ SALDARRIAGA MARIN")</f>
        <v>Maria Luz Saldarriaga Marin</v>
      </c>
      <c r="J88" s="337">
        <v>43283260</v>
      </c>
      <c r="K88" s="137" t="s">
        <v>1191</v>
      </c>
      <c r="L88" s="179"/>
      <c r="M88" s="286"/>
      <c r="N88" s="137" t="s">
        <v>1588</v>
      </c>
      <c r="O88" s="337">
        <v>3016090295</v>
      </c>
      <c r="P88" s="137"/>
      <c r="Q88" s="137" t="s">
        <v>1679</v>
      </c>
      <c r="R88" s="338" t="s">
        <v>1585</v>
      </c>
      <c r="S88" s="339" t="s">
        <v>1585</v>
      </c>
      <c r="T88" s="137"/>
      <c r="U88" s="223" t="s">
        <v>160</v>
      </c>
      <c r="V88" s="144" t="s">
        <v>210</v>
      </c>
    </row>
    <row r="89" spans="4:22">
      <c r="D89" s="824" t="s">
        <v>2290</v>
      </c>
      <c r="E89" s="755">
        <v>8</v>
      </c>
      <c r="F89" s="755" t="s">
        <v>1567</v>
      </c>
      <c r="G89" s="755" t="s">
        <v>151</v>
      </c>
      <c r="H89" s="755" t="s">
        <v>1919</v>
      </c>
      <c r="I89" s="841" t="str">
        <f>PROPER("FABIO DE JESUS VANEGAS CANO")</f>
        <v>Fabio De Jesus Vanegas Cano</v>
      </c>
      <c r="J89" s="842">
        <v>70106419</v>
      </c>
      <c r="K89" s="755" t="s">
        <v>1187</v>
      </c>
      <c r="L89" s="765"/>
      <c r="M89" s="757"/>
      <c r="N89" s="755" t="s">
        <v>1588</v>
      </c>
      <c r="O89" s="842">
        <v>3028537066</v>
      </c>
      <c r="P89" s="755"/>
      <c r="Q89" s="755"/>
      <c r="R89" s="836" t="s">
        <v>1585</v>
      </c>
      <c r="S89" s="837" t="s">
        <v>1585</v>
      </c>
      <c r="T89" s="755"/>
      <c r="U89" s="760" t="s">
        <v>166</v>
      </c>
      <c r="V89" s="761" t="s">
        <v>210</v>
      </c>
    </row>
    <row r="90" spans="4:22">
      <c r="D90" s="289"/>
      <c r="E90" s="200">
        <v>8</v>
      </c>
      <c r="F90" s="200" t="s">
        <v>1567</v>
      </c>
      <c r="G90" s="200" t="s">
        <v>151</v>
      </c>
      <c r="H90" s="200" t="s">
        <v>1919</v>
      </c>
      <c r="I90" s="340" t="str">
        <f>PROPER("JUAN BAUTISTA HENAO MORENO")</f>
        <v>Juan Bautista Henao Moreno</v>
      </c>
      <c r="J90" s="341">
        <v>3564695</v>
      </c>
      <c r="K90" s="200" t="s">
        <v>1187</v>
      </c>
      <c r="L90" s="191"/>
      <c r="M90" s="238"/>
      <c r="N90" s="200" t="s">
        <v>1588</v>
      </c>
      <c r="O90" s="341">
        <v>3023154555</v>
      </c>
      <c r="P90" s="200"/>
      <c r="Q90" s="200"/>
      <c r="R90" s="327" t="s">
        <v>1585</v>
      </c>
      <c r="S90" s="328" t="s">
        <v>1585</v>
      </c>
      <c r="T90" s="200"/>
      <c r="U90" s="224" t="s">
        <v>160</v>
      </c>
      <c r="V90" s="144" t="s">
        <v>210</v>
      </c>
    </row>
    <row r="91" spans="4:22">
      <c r="D91" s="289"/>
      <c r="E91" s="200">
        <v>8</v>
      </c>
      <c r="F91" s="200" t="s">
        <v>1567</v>
      </c>
      <c r="G91" s="200" t="s">
        <v>151</v>
      </c>
      <c r="H91" s="200" t="s">
        <v>1919</v>
      </c>
      <c r="I91" s="340" t="str">
        <f>PROPER("MIGUEL ANGEL MESA GIRALDO")</f>
        <v>Miguel Angel Mesa Giraldo</v>
      </c>
      <c r="J91" s="341">
        <v>3431699</v>
      </c>
      <c r="K91" s="200" t="s">
        <v>1187</v>
      </c>
      <c r="L91" s="191"/>
      <c r="M91" s="238"/>
      <c r="N91" s="200" t="s">
        <v>1588</v>
      </c>
      <c r="O91" s="341">
        <v>3023154555</v>
      </c>
      <c r="P91" s="200"/>
      <c r="Q91" s="200"/>
      <c r="R91" s="327" t="s">
        <v>1585</v>
      </c>
      <c r="S91" s="328" t="s">
        <v>1585</v>
      </c>
      <c r="T91" s="200"/>
      <c r="U91" s="224" t="s">
        <v>160</v>
      </c>
      <c r="V91" s="144" t="s">
        <v>210</v>
      </c>
    </row>
    <row r="92" spans="4:22">
      <c r="D92" s="289"/>
      <c r="E92" s="200">
        <v>8</v>
      </c>
      <c r="F92" s="200" t="s">
        <v>1567</v>
      </c>
      <c r="G92" s="200" t="s">
        <v>151</v>
      </c>
      <c r="H92" s="200" t="s">
        <v>1919</v>
      </c>
      <c r="I92" s="340" t="str">
        <f>PROPER("ADRIANA MARIA ESTRADA TOBON")</f>
        <v>Adriana Maria Estrada Tobon</v>
      </c>
      <c r="J92" s="341">
        <v>63332580</v>
      </c>
      <c r="K92" s="200" t="s">
        <v>1191</v>
      </c>
      <c r="L92" s="191"/>
      <c r="M92" s="238"/>
      <c r="N92" s="200" t="s">
        <v>1588</v>
      </c>
      <c r="O92" s="341">
        <v>3117967577</v>
      </c>
      <c r="P92" s="200"/>
      <c r="Q92" s="200"/>
      <c r="R92" s="327" t="s">
        <v>1585</v>
      </c>
      <c r="S92" s="328" t="s">
        <v>1585</v>
      </c>
      <c r="T92" s="200"/>
      <c r="U92" s="224" t="s">
        <v>160</v>
      </c>
      <c r="V92" s="144" t="s">
        <v>210</v>
      </c>
    </row>
    <row r="93" spans="4:22">
      <c r="D93" s="289"/>
      <c r="E93" s="200">
        <v>8</v>
      </c>
      <c r="F93" s="200" t="s">
        <v>1567</v>
      </c>
      <c r="G93" s="200" t="s">
        <v>151</v>
      </c>
      <c r="H93" s="200" t="s">
        <v>1919</v>
      </c>
      <c r="I93" s="340" t="str">
        <f>PROPER("GLORIA PATRICIA MALDONADO VELASQUEZ")</f>
        <v>Gloria Patricia Maldonado Velasquez</v>
      </c>
      <c r="J93" s="341">
        <v>43067063</v>
      </c>
      <c r="K93" s="200" t="s">
        <v>1191</v>
      </c>
      <c r="L93" s="191"/>
      <c r="M93" s="238"/>
      <c r="N93" s="200" t="s">
        <v>1588</v>
      </c>
      <c r="O93" s="341">
        <v>3207861222</v>
      </c>
      <c r="P93" s="200"/>
      <c r="Q93" s="200"/>
      <c r="R93" s="327" t="s">
        <v>1585</v>
      </c>
      <c r="S93" s="328" t="s">
        <v>1585</v>
      </c>
      <c r="T93" s="200"/>
      <c r="U93" s="224" t="s">
        <v>160</v>
      </c>
      <c r="V93" s="144" t="s">
        <v>210</v>
      </c>
    </row>
    <row r="94" spans="4:22">
      <c r="D94" s="289"/>
      <c r="E94" s="200">
        <v>8</v>
      </c>
      <c r="F94" s="200" t="s">
        <v>1567</v>
      </c>
      <c r="G94" s="200" t="s">
        <v>151</v>
      </c>
      <c r="H94" s="200" t="s">
        <v>1919</v>
      </c>
      <c r="I94" s="340" t="str">
        <f>PROPER("MARIA DEL CARMEN URREGO")</f>
        <v>Maria Del Carmen Urrego</v>
      </c>
      <c r="J94" s="341">
        <v>43547323</v>
      </c>
      <c r="K94" s="200" t="s">
        <v>1191</v>
      </c>
      <c r="L94" s="191"/>
      <c r="M94" s="238"/>
      <c r="N94" s="200" t="s">
        <v>1588</v>
      </c>
      <c r="O94" s="341">
        <v>3207144048</v>
      </c>
      <c r="P94" s="200"/>
      <c r="Q94" s="200"/>
      <c r="R94" s="327" t="s">
        <v>1585</v>
      </c>
      <c r="S94" s="328" t="s">
        <v>1585</v>
      </c>
      <c r="T94" s="200"/>
      <c r="U94" s="224" t="s">
        <v>160</v>
      </c>
      <c r="V94" s="144" t="s">
        <v>210</v>
      </c>
    </row>
    <row r="95" spans="4:22">
      <c r="D95" s="824" t="s">
        <v>2289</v>
      </c>
      <c r="E95" s="755">
        <v>8</v>
      </c>
      <c r="F95" s="755" t="s">
        <v>1567</v>
      </c>
      <c r="G95" s="755" t="s">
        <v>129</v>
      </c>
      <c r="H95" s="755" t="s">
        <v>869</v>
      </c>
      <c r="I95" s="841" t="str">
        <f>PROPER("MARIA ADRIANA RODRIGUEZ BEDOYA")</f>
        <v>Maria Adriana Rodriguez Bedoya</v>
      </c>
      <c r="J95" s="842">
        <v>43508160</v>
      </c>
      <c r="K95" s="755" t="s">
        <v>1191</v>
      </c>
      <c r="L95" s="765"/>
      <c r="M95" s="757"/>
      <c r="N95" s="755" t="s">
        <v>1588</v>
      </c>
      <c r="O95" s="842">
        <v>3105042325</v>
      </c>
      <c r="P95" s="755"/>
      <c r="Q95" s="755" t="s">
        <v>1685</v>
      </c>
      <c r="R95" s="836" t="s">
        <v>1585</v>
      </c>
      <c r="S95" s="837" t="s">
        <v>1585</v>
      </c>
      <c r="T95" s="755"/>
      <c r="U95" s="760" t="s">
        <v>166</v>
      </c>
      <c r="V95" s="761" t="s">
        <v>210</v>
      </c>
    </row>
    <row r="96" spans="4:22">
      <c r="D96" s="289"/>
      <c r="E96" s="195">
        <v>8</v>
      </c>
      <c r="F96" s="195" t="s">
        <v>1567</v>
      </c>
      <c r="G96" s="195" t="s">
        <v>129</v>
      </c>
      <c r="H96" s="195" t="s">
        <v>869</v>
      </c>
      <c r="I96" s="342" t="str">
        <f>PROPER("JAIRO OCTAVIO URAN VARGAS")</f>
        <v>Jairo Octavio Uran Vargas</v>
      </c>
      <c r="J96" s="343">
        <v>71050729</v>
      </c>
      <c r="K96" s="195" t="s">
        <v>1187</v>
      </c>
      <c r="L96" s="177"/>
      <c r="M96" s="239"/>
      <c r="N96" s="195" t="s">
        <v>1588</v>
      </c>
      <c r="O96" s="343">
        <v>3232949025</v>
      </c>
      <c r="P96" s="195"/>
      <c r="Q96" s="195" t="s">
        <v>1685</v>
      </c>
      <c r="R96" s="330" t="s">
        <v>1585</v>
      </c>
      <c r="S96" s="331" t="s">
        <v>1585</v>
      </c>
      <c r="T96" s="195"/>
      <c r="U96" s="221" t="s">
        <v>160</v>
      </c>
      <c r="V96" s="144" t="s">
        <v>210</v>
      </c>
    </row>
    <row r="97" spans="4:22">
      <c r="D97" s="289"/>
      <c r="E97" s="195">
        <v>8</v>
      </c>
      <c r="F97" s="195" t="s">
        <v>1567</v>
      </c>
      <c r="G97" s="195" t="s">
        <v>129</v>
      </c>
      <c r="H97" s="195" t="s">
        <v>869</v>
      </c>
      <c r="I97" s="342" t="str">
        <f>PROPER("MARTHA CECILIA LOPEZ CUERVO")</f>
        <v>Martha Cecilia Lopez Cuervo</v>
      </c>
      <c r="J97" s="343">
        <v>43744504</v>
      </c>
      <c r="K97" s="195" t="s">
        <v>1191</v>
      </c>
      <c r="L97" s="177"/>
      <c r="M97" s="239"/>
      <c r="N97" s="195" t="s">
        <v>1588</v>
      </c>
      <c r="O97" s="343">
        <v>3122151682</v>
      </c>
      <c r="P97" s="195"/>
      <c r="Q97" s="195" t="s">
        <v>1685</v>
      </c>
      <c r="R97" s="330" t="s">
        <v>1585</v>
      </c>
      <c r="S97" s="331" t="s">
        <v>1585</v>
      </c>
      <c r="T97" s="195"/>
      <c r="U97" s="221" t="s">
        <v>160</v>
      </c>
      <c r="V97" s="144" t="s">
        <v>210</v>
      </c>
    </row>
    <row r="98" spans="4:22">
      <c r="D98" s="289"/>
      <c r="E98" s="195">
        <v>8</v>
      </c>
      <c r="F98" s="195" t="s">
        <v>1567</v>
      </c>
      <c r="G98" s="195" t="s">
        <v>129</v>
      </c>
      <c r="H98" s="195" t="s">
        <v>869</v>
      </c>
      <c r="I98" s="342" t="str">
        <f>PROPER("JOSE ALONSO HOLGUIN GIRALDO")</f>
        <v>Jose Alonso Holguin Giraldo</v>
      </c>
      <c r="J98" s="343">
        <v>10067131</v>
      </c>
      <c r="K98" s="195" t="s">
        <v>1187</v>
      </c>
      <c r="L98" s="177"/>
      <c r="M98" s="239"/>
      <c r="N98" s="195" t="s">
        <v>1588</v>
      </c>
      <c r="O98" s="343">
        <v>3223166310</v>
      </c>
      <c r="P98" s="195"/>
      <c r="Q98" s="195" t="s">
        <v>1685</v>
      </c>
      <c r="R98" s="330" t="s">
        <v>1585</v>
      </c>
      <c r="S98" s="331" t="s">
        <v>1585</v>
      </c>
      <c r="T98" s="195"/>
      <c r="U98" s="221" t="s">
        <v>160</v>
      </c>
      <c r="V98" s="144" t="s">
        <v>210</v>
      </c>
    </row>
    <row r="99" spans="4:22">
      <c r="D99" s="289"/>
      <c r="E99" s="195">
        <v>8</v>
      </c>
      <c r="F99" s="195" t="s">
        <v>1567</v>
      </c>
      <c r="G99" s="195" t="s">
        <v>129</v>
      </c>
      <c r="H99" s="195" t="s">
        <v>869</v>
      </c>
      <c r="I99" s="342" t="str">
        <f>PROPER("DORIS ELENA JARAMILLO GARCIA")</f>
        <v>Doris Elena Jaramillo Garcia</v>
      </c>
      <c r="J99" s="343">
        <v>1042767127</v>
      </c>
      <c r="K99" s="195" t="s">
        <v>1191</v>
      </c>
      <c r="L99" s="177"/>
      <c r="M99" s="239"/>
      <c r="N99" s="195" t="s">
        <v>1588</v>
      </c>
      <c r="O99" s="343">
        <v>3147578009</v>
      </c>
      <c r="P99" s="195"/>
      <c r="Q99" s="195" t="s">
        <v>1685</v>
      </c>
      <c r="R99" s="330" t="s">
        <v>1585</v>
      </c>
      <c r="S99" s="331" t="s">
        <v>1585</v>
      </c>
      <c r="T99" s="195"/>
      <c r="U99" s="221" t="s">
        <v>160</v>
      </c>
      <c r="V99" s="144" t="s">
        <v>210</v>
      </c>
    </row>
    <row r="100" spans="4:22">
      <c r="D100" s="289"/>
      <c r="E100" s="195">
        <v>8</v>
      </c>
      <c r="F100" s="195" t="s">
        <v>1567</v>
      </c>
      <c r="G100" s="195" t="s">
        <v>129</v>
      </c>
      <c r="H100" s="195" t="s">
        <v>869</v>
      </c>
      <c r="I100" s="342" t="str">
        <f>PROPER("YASMIN ELIANA TABORDA GARCIA")</f>
        <v>Yasmin Eliana Taborda Garcia</v>
      </c>
      <c r="J100" s="343">
        <v>1037574108</v>
      </c>
      <c r="K100" s="195" t="s">
        <v>1191</v>
      </c>
      <c r="L100" s="177"/>
      <c r="M100" s="239"/>
      <c r="N100" s="195" t="s">
        <v>1588</v>
      </c>
      <c r="O100" s="343">
        <v>3128827159</v>
      </c>
      <c r="P100" s="195"/>
      <c r="Q100" s="195" t="s">
        <v>1685</v>
      </c>
      <c r="R100" s="330" t="s">
        <v>1585</v>
      </c>
      <c r="S100" s="331" t="s">
        <v>1585</v>
      </c>
      <c r="T100" s="195"/>
      <c r="U100" s="221" t="s">
        <v>160</v>
      </c>
      <c r="V100" s="144" t="s">
        <v>210</v>
      </c>
    </row>
    <row r="101" spans="4:22">
      <c r="D101" s="824" t="s">
        <v>2290</v>
      </c>
      <c r="E101" s="755">
        <v>8</v>
      </c>
      <c r="F101" s="755" t="s">
        <v>1567</v>
      </c>
      <c r="G101" s="755" t="s">
        <v>151</v>
      </c>
      <c r="H101" s="755" t="s">
        <v>1684</v>
      </c>
      <c r="I101" s="841" t="str">
        <f>PROPER("LUIS RESTREPO")</f>
        <v>Luis Restrepo</v>
      </c>
      <c r="J101" s="842">
        <v>1038829219</v>
      </c>
      <c r="K101" s="755" t="s">
        <v>1187</v>
      </c>
      <c r="L101" s="765"/>
      <c r="M101" s="757"/>
      <c r="N101" s="755" t="s">
        <v>1588</v>
      </c>
      <c r="O101" s="842">
        <v>3003996961</v>
      </c>
      <c r="P101" s="755"/>
      <c r="Q101" s="755" t="s">
        <v>1684</v>
      </c>
      <c r="R101" s="836" t="s">
        <v>1585</v>
      </c>
      <c r="S101" s="837" t="s">
        <v>1585</v>
      </c>
      <c r="T101" s="755"/>
      <c r="U101" s="760" t="s">
        <v>166</v>
      </c>
      <c r="V101" s="761" t="s">
        <v>210</v>
      </c>
    </row>
    <row r="102" spans="4:22">
      <c r="D102" s="289"/>
      <c r="E102" s="196">
        <v>8</v>
      </c>
      <c r="F102" s="196" t="s">
        <v>1567</v>
      </c>
      <c r="G102" s="196" t="s">
        <v>151</v>
      </c>
      <c r="H102" s="196" t="s">
        <v>1684</v>
      </c>
      <c r="I102" s="344" t="str">
        <f>PROPER("DIEGO ORREGO")</f>
        <v>Diego Orrego</v>
      </c>
      <c r="J102" s="345">
        <v>1146434201</v>
      </c>
      <c r="K102" s="196" t="s">
        <v>1187</v>
      </c>
      <c r="L102" s="178"/>
      <c r="M102" s="283"/>
      <c r="N102" s="196" t="s">
        <v>1588</v>
      </c>
      <c r="O102" s="345">
        <v>3046374079</v>
      </c>
      <c r="P102" s="196"/>
      <c r="Q102" s="196" t="s">
        <v>1684</v>
      </c>
      <c r="R102" s="334" t="s">
        <v>1585</v>
      </c>
      <c r="S102" s="335" t="s">
        <v>1585</v>
      </c>
      <c r="T102" s="196"/>
      <c r="U102" s="222" t="s">
        <v>160</v>
      </c>
      <c r="V102" s="144" t="s">
        <v>210</v>
      </c>
    </row>
    <row r="103" spans="4:22">
      <c r="D103" s="289"/>
      <c r="E103" s="196">
        <v>8</v>
      </c>
      <c r="F103" s="196" t="s">
        <v>1567</v>
      </c>
      <c r="G103" s="196" t="s">
        <v>151</v>
      </c>
      <c r="H103" s="196" t="s">
        <v>1684</v>
      </c>
      <c r="I103" s="344" t="str">
        <f>PROPER("REINALDO")</f>
        <v>Reinaldo</v>
      </c>
      <c r="J103" s="345">
        <v>98648641</v>
      </c>
      <c r="K103" s="196" t="s">
        <v>1187</v>
      </c>
      <c r="L103" s="178"/>
      <c r="M103" s="283"/>
      <c r="N103" s="196" t="s">
        <v>1588</v>
      </c>
      <c r="O103" s="345">
        <v>3006437424</v>
      </c>
      <c r="P103" s="196"/>
      <c r="Q103" s="196" t="s">
        <v>1684</v>
      </c>
      <c r="R103" s="334" t="s">
        <v>1585</v>
      </c>
      <c r="S103" s="335" t="s">
        <v>1585</v>
      </c>
      <c r="T103" s="196"/>
      <c r="U103" s="222" t="s">
        <v>160</v>
      </c>
      <c r="V103" s="144" t="s">
        <v>210</v>
      </c>
    </row>
    <row r="104" spans="4:22">
      <c r="D104" s="289"/>
      <c r="E104" s="196">
        <v>8</v>
      </c>
      <c r="F104" s="196" t="s">
        <v>1567</v>
      </c>
      <c r="G104" s="196" t="s">
        <v>151</v>
      </c>
      <c r="H104" s="196" t="s">
        <v>1684</v>
      </c>
      <c r="I104" s="344" t="str">
        <f>PROPER("GABRIEL")</f>
        <v>Gabriel</v>
      </c>
      <c r="J104" s="345">
        <v>15371640</v>
      </c>
      <c r="K104" s="196" t="s">
        <v>1187</v>
      </c>
      <c r="L104" s="178"/>
      <c r="M104" s="283"/>
      <c r="N104" s="196" t="s">
        <v>1588</v>
      </c>
      <c r="O104" s="345">
        <v>3224920790</v>
      </c>
      <c r="P104" s="196"/>
      <c r="Q104" s="196" t="s">
        <v>1684</v>
      </c>
      <c r="R104" s="334" t="s">
        <v>1585</v>
      </c>
      <c r="S104" s="335" t="s">
        <v>1585</v>
      </c>
      <c r="T104" s="196"/>
      <c r="U104" s="222" t="s">
        <v>160</v>
      </c>
      <c r="V104" s="144" t="s">
        <v>210</v>
      </c>
    </row>
    <row r="105" spans="4:22">
      <c r="D105" s="289"/>
      <c r="E105" s="196">
        <v>8</v>
      </c>
      <c r="F105" s="196" t="s">
        <v>1567</v>
      </c>
      <c r="G105" s="196" t="s">
        <v>151</v>
      </c>
      <c r="H105" s="196" t="s">
        <v>1684</v>
      </c>
      <c r="I105" s="344" t="str">
        <f>PROPER("SANDRA MILENA QUIROZ SANMARTIN")</f>
        <v>Sandra Milena Quiroz Sanmartin</v>
      </c>
      <c r="J105" s="345">
        <v>42016866</v>
      </c>
      <c r="K105" s="196" t="s">
        <v>1191</v>
      </c>
      <c r="L105" s="178"/>
      <c r="M105" s="283"/>
      <c r="N105" s="196" t="s">
        <v>1588</v>
      </c>
      <c r="O105" s="345">
        <v>3128368684</v>
      </c>
      <c r="P105" s="196"/>
      <c r="Q105" s="196" t="s">
        <v>1684</v>
      </c>
      <c r="R105" s="334" t="s">
        <v>1585</v>
      </c>
      <c r="S105" s="335" t="s">
        <v>1585</v>
      </c>
      <c r="T105" s="196"/>
      <c r="U105" s="222" t="s">
        <v>160</v>
      </c>
      <c r="V105" s="144" t="s">
        <v>210</v>
      </c>
    </row>
    <row r="106" spans="4:22">
      <c r="D106" s="289"/>
      <c r="E106" s="196">
        <v>8</v>
      </c>
      <c r="F106" s="196" t="s">
        <v>1567</v>
      </c>
      <c r="G106" s="196" t="s">
        <v>151</v>
      </c>
      <c r="H106" s="196" t="s">
        <v>1684</v>
      </c>
      <c r="I106" s="344" t="str">
        <f>PROPER("PATRICIA SAN MARTIN")</f>
        <v>Patricia San Martin</v>
      </c>
      <c r="J106" s="345">
        <v>39178626</v>
      </c>
      <c r="K106" s="196" t="s">
        <v>1191</v>
      </c>
      <c r="L106" s="178"/>
      <c r="M106" s="283"/>
      <c r="N106" s="196" t="s">
        <v>1588</v>
      </c>
      <c r="O106" s="345">
        <v>3234928180</v>
      </c>
      <c r="P106" s="196"/>
      <c r="Q106" s="196" t="s">
        <v>1684</v>
      </c>
      <c r="R106" s="334" t="s">
        <v>1585</v>
      </c>
      <c r="S106" s="335" t="s">
        <v>1585</v>
      </c>
      <c r="T106" s="196"/>
      <c r="U106" s="222" t="s">
        <v>160</v>
      </c>
      <c r="V106" s="144" t="s">
        <v>210</v>
      </c>
    </row>
    <row r="107" spans="4:22">
      <c r="D107" s="824" t="s">
        <v>2290</v>
      </c>
      <c r="E107" s="755">
        <v>8</v>
      </c>
      <c r="F107" s="755" t="s">
        <v>1567</v>
      </c>
      <c r="G107" s="755" t="s">
        <v>151</v>
      </c>
      <c r="H107" s="755" t="s">
        <v>1920</v>
      </c>
      <c r="I107" s="841" t="str">
        <f>PROPER("DULCE MARIA JIMENEZ")</f>
        <v>Dulce Maria Jimenez</v>
      </c>
      <c r="J107" s="842">
        <v>1025528188</v>
      </c>
      <c r="K107" s="755" t="s">
        <v>1191</v>
      </c>
      <c r="L107" s="765"/>
      <c r="M107" s="757"/>
      <c r="N107" s="755" t="s">
        <v>1588</v>
      </c>
      <c r="O107" s="842">
        <v>3028641403</v>
      </c>
      <c r="P107" s="755"/>
      <c r="Q107" s="755" t="s">
        <v>1686</v>
      </c>
      <c r="R107" s="836" t="s">
        <v>1585</v>
      </c>
      <c r="S107" s="837" t="s">
        <v>1585</v>
      </c>
      <c r="T107" s="755"/>
      <c r="U107" s="760" t="s">
        <v>166</v>
      </c>
      <c r="V107" s="761" t="s">
        <v>210</v>
      </c>
    </row>
    <row r="108" spans="4:22">
      <c r="D108" s="289"/>
      <c r="E108" s="137">
        <v>8</v>
      </c>
      <c r="F108" s="137" t="s">
        <v>1567</v>
      </c>
      <c r="G108" s="137" t="s">
        <v>151</v>
      </c>
      <c r="H108" s="137" t="s">
        <v>1920</v>
      </c>
      <c r="I108" s="336" t="str">
        <f>PROPER("SCARLET DAYANNA PALACIOS CHAVERRA")</f>
        <v>Scarlet Dayanna Palacios Chaverra</v>
      </c>
      <c r="J108" s="337">
        <v>1028003843</v>
      </c>
      <c r="K108" s="137" t="s">
        <v>1191</v>
      </c>
      <c r="L108" s="179"/>
      <c r="M108" s="286"/>
      <c r="N108" s="137" t="s">
        <v>1588</v>
      </c>
      <c r="O108" s="337">
        <v>3137096936</v>
      </c>
      <c r="P108" s="137"/>
      <c r="Q108" s="137" t="s">
        <v>1686</v>
      </c>
      <c r="R108" s="338" t="s">
        <v>1585</v>
      </c>
      <c r="S108" s="339" t="s">
        <v>1585</v>
      </c>
      <c r="T108" s="137"/>
      <c r="U108" s="223" t="s">
        <v>160</v>
      </c>
      <c r="V108" s="144" t="s">
        <v>210</v>
      </c>
    </row>
    <row r="109" spans="4:22">
      <c r="D109" s="289"/>
      <c r="E109" s="137">
        <v>8</v>
      </c>
      <c r="F109" s="137" t="s">
        <v>1567</v>
      </c>
      <c r="G109" s="137" t="s">
        <v>151</v>
      </c>
      <c r="H109" s="137" t="s">
        <v>1920</v>
      </c>
      <c r="I109" s="336" t="str">
        <f>PROPER("LUZ MARIA USUGA")</f>
        <v>Luz Maria Usuga</v>
      </c>
      <c r="J109" s="337">
        <v>43523100</v>
      </c>
      <c r="K109" s="137" t="s">
        <v>1191</v>
      </c>
      <c r="L109" s="179"/>
      <c r="M109" s="286"/>
      <c r="N109" s="137" t="s">
        <v>1588</v>
      </c>
      <c r="O109" s="337">
        <v>3127296441</v>
      </c>
      <c r="P109" s="137"/>
      <c r="Q109" s="137" t="s">
        <v>1686</v>
      </c>
      <c r="R109" s="338" t="s">
        <v>1585</v>
      </c>
      <c r="S109" s="339" t="s">
        <v>1585</v>
      </c>
      <c r="T109" s="137"/>
      <c r="U109" s="223" t="s">
        <v>160</v>
      </c>
      <c r="V109" s="144" t="s">
        <v>210</v>
      </c>
    </row>
    <row r="110" spans="4:22">
      <c r="D110" s="289"/>
      <c r="E110" s="137">
        <v>8</v>
      </c>
      <c r="F110" s="137" t="s">
        <v>1567</v>
      </c>
      <c r="G110" s="137" t="s">
        <v>151</v>
      </c>
      <c r="H110" s="137" t="s">
        <v>1920</v>
      </c>
      <c r="I110" s="336" t="str">
        <f>PROPER("MIRYAM DELSOCORRO GARCIA ALVAREZ")</f>
        <v>Miryam Delsocorro Garcia Alvarez</v>
      </c>
      <c r="J110" s="337">
        <v>43089032</v>
      </c>
      <c r="K110" s="137" t="s">
        <v>1191</v>
      </c>
      <c r="L110" s="179"/>
      <c r="M110" s="286"/>
      <c r="N110" s="137" t="s">
        <v>1588</v>
      </c>
      <c r="O110" s="337">
        <v>3005350089</v>
      </c>
      <c r="P110" s="137"/>
      <c r="Q110" s="137" t="s">
        <v>1686</v>
      </c>
      <c r="R110" s="338" t="s">
        <v>1585</v>
      </c>
      <c r="S110" s="339" t="s">
        <v>1585</v>
      </c>
      <c r="T110" s="137"/>
      <c r="U110" s="223" t="s">
        <v>160</v>
      </c>
      <c r="V110" s="144" t="s">
        <v>210</v>
      </c>
    </row>
    <row r="111" spans="4:22">
      <c r="D111" s="289"/>
      <c r="E111" s="137">
        <v>8</v>
      </c>
      <c r="F111" s="137" t="s">
        <v>1567</v>
      </c>
      <c r="G111" s="137" t="s">
        <v>151</v>
      </c>
      <c r="H111" s="137" t="s">
        <v>1920</v>
      </c>
      <c r="I111" s="336" t="str">
        <f>PROPER("ROSA ADELA TORO")</f>
        <v>Rosa Adela Toro</v>
      </c>
      <c r="J111" s="337">
        <v>22201662</v>
      </c>
      <c r="K111" s="137" t="s">
        <v>1191</v>
      </c>
      <c r="L111" s="179"/>
      <c r="M111" s="286"/>
      <c r="N111" s="137" t="s">
        <v>1588</v>
      </c>
      <c r="O111" s="337">
        <v>3175845917</v>
      </c>
      <c r="P111" s="137"/>
      <c r="Q111" s="137" t="s">
        <v>1686</v>
      </c>
      <c r="R111" s="338" t="s">
        <v>1585</v>
      </c>
      <c r="S111" s="339" t="s">
        <v>1585</v>
      </c>
      <c r="T111" s="137"/>
      <c r="U111" s="223" t="s">
        <v>160</v>
      </c>
      <c r="V111" s="144" t="s">
        <v>210</v>
      </c>
    </row>
    <row r="112" spans="4:22">
      <c r="D112" s="289"/>
      <c r="E112" s="137">
        <v>8</v>
      </c>
      <c r="F112" s="137" t="s">
        <v>1567</v>
      </c>
      <c r="G112" s="137" t="s">
        <v>151</v>
      </c>
      <c r="H112" s="137" t="s">
        <v>1920</v>
      </c>
      <c r="I112" s="336" t="str">
        <f>PROPER("MARIA ELVIA CASTAÑO RAMIREZ")</f>
        <v>Maria Elvia Castaño Ramirez</v>
      </c>
      <c r="J112" s="337">
        <v>42881471</v>
      </c>
      <c r="K112" s="137" t="s">
        <v>1191</v>
      </c>
      <c r="L112" s="179"/>
      <c r="M112" s="286"/>
      <c r="N112" s="137" t="s">
        <v>1588</v>
      </c>
      <c r="O112" s="337">
        <v>3043263850</v>
      </c>
      <c r="P112" s="137"/>
      <c r="Q112" s="137" t="s">
        <v>1686</v>
      </c>
      <c r="R112" s="338" t="s">
        <v>1585</v>
      </c>
      <c r="S112" s="339" t="s">
        <v>1585</v>
      </c>
      <c r="T112" s="137"/>
      <c r="U112" s="223" t="s">
        <v>160</v>
      </c>
      <c r="V112" s="144" t="s">
        <v>210</v>
      </c>
    </row>
    <row r="113" spans="4:22">
      <c r="D113" s="824" t="s">
        <v>2290</v>
      </c>
      <c r="E113" s="755">
        <v>8</v>
      </c>
      <c r="F113" s="755" t="s">
        <v>1567</v>
      </c>
      <c r="G113" s="755" t="s">
        <v>151</v>
      </c>
      <c r="H113" s="755" t="s">
        <v>1921</v>
      </c>
      <c r="I113" s="841" t="str">
        <f>PROPER("DUMAR FELIPE GUTIERREZ PATIÑO")</f>
        <v>Dumar Felipe Gutierrez Patiño</v>
      </c>
      <c r="J113" s="842">
        <v>1017137172</v>
      </c>
      <c r="K113" s="755" t="s">
        <v>1187</v>
      </c>
      <c r="L113" s="765"/>
      <c r="M113" s="757"/>
      <c r="N113" s="755" t="s">
        <v>1588</v>
      </c>
      <c r="O113" s="842">
        <v>3117892096</v>
      </c>
      <c r="P113" s="755"/>
      <c r="Q113" s="755" t="s">
        <v>1686</v>
      </c>
      <c r="R113" s="836" t="s">
        <v>1585</v>
      </c>
      <c r="S113" s="837" t="s">
        <v>1585</v>
      </c>
      <c r="T113" s="755"/>
      <c r="U113" s="760" t="s">
        <v>166</v>
      </c>
      <c r="V113" s="761" t="s">
        <v>210</v>
      </c>
    </row>
    <row r="114" spans="4:22">
      <c r="D114" s="289"/>
      <c r="E114" s="200">
        <v>8</v>
      </c>
      <c r="F114" s="200" t="s">
        <v>1567</v>
      </c>
      <c r="G114" s="200" t="s">
        <v>151</v>
      </c>
      <c r="H114" s="200" t="s">
        <v>1921</v>
      </c>
      <c r="I114" s="340" t="str">
        <f>PROPER("OLGA LUCIA YEPES ATEHORTUA")</f>
        <v>Olga Lucia Yepes Atehortua</v>
      </c>
      <c r="J114" s="341">
        <v>43630351</v>
      </c>
      <c r="K114" s="200" t="s">
        <v>1191</v>
      </c>
      <c r="L114" s="191"/>
      <c r="M114" s="238"/>
      <c r="N114" s="200" t="s">
        <v>1588</v>
      </c>
      <c r="O114" s="341">
        <v>3008011681</v>
      </c>
      <c r="P114" s="200"/>
      <c r="Q114" s="200" t="s">
        <v>1686</v>
      </c>
      <c r="R114" s="327" t="s">
        <v>1585</v>
      </c>
      <c r="S114" s="328" t="s">
        <v>1585</v>
      </c>
      <c r="T114" s="200"/>
      <c r="U114" s="224" t="s">
        <v>160</v>
      </c>
      <c r="V114" s="144" t="s">
        <v>210</v>
      </c>
    </row>
    <row r="115" spans="4:22">
      <c r="D115" s="289"/>
      <c r="E115" s="200">
        <v>8</v>
      </c>
      <c r="F115" s="200" t="s">
        <v>1567</v>
      </c>
      <c r="G115" s="200" t="s">
        <v>151</v>
      </c>
      <c r="H115" s="200" t="s">
        <v>1921</v>
      </c>
      <c r="I115" s="340" t="str">
        <f>PROPER("LUZ DANELLY ATEHORTUA")</f>
        <v>Luz Danelly Atehortua</v>
      </c>
      <c r="J115" s="341">
        <v>43165881</v>
      </c>
      <c r="K115" s="200" t="s">
        <v>1191</v>
      </c>
      <c r="L115" s="191"/>
      <c r="M115" s="238"/>
      <c r="N115" s="200" t="s">
        <v>1588</v>
      </c>
      <c r="O115" s="341">
        <v>311789209</v>
      </c>
      <c r="P115" s="200"/>
      <c r="Q115" s="200" t="s">
        <v>1686</v>
      </c>
      <c r="R115" s="327" t="s">
        <v>1585</v>
      </c>
      <c r="S115" s="328" t="s">
        <v>1585</v>
      </c>
      <c r="T115" s="200"/>
      <c r="U115" s="224" t="s">
        <v>160</v>
      </c>
      <c r="V115" s="144" t="s">
        <v>210</v>
      </c>
    </row>
    <row r="116" spans="4:22">
      <c r="D116" s="289"/>
      <c r="E116" s="200">
        <v>8</v>
      </c>
      <c r="F116" s="200" t="s">
        <v>1567</v>
      </c>
      <c r="G116" s="200" t="s">
        <v>151</v>
      </c>
      <c r="H116" s="200" t="s">
        <v>1921</v>
      </c>
      <c r="I116" s="340" t="str">
        <f>PROPER("CARLOS EDUARDO SERNA")</f>
        <v>Carlos Eduardo Serna</v>
      </c>
      <c r="J116" s="341">
        <v>71742011</v>
      </c>
      <c r="K116" s="200" t="s">
        <v>1187</v>
      </c>
      <c r="L116" s="191"/>
      <c r="M116" s="238"/>
      <c r="N116" s="200" t="s">
        <v>1588</v>
      </c>
      <c r="O116" s="341">
        <v>3027653426</v>
      </c>
      <c r="P116" s="200"/>
      <c r="Q116" s="200" t="s">
        <v>1686</v>
      </c>
      <c r="R116" s="327" t="s">
        <v>1585</v>
      </c>
      <c r="S116" s="328" t="s">
        <v>1585</v>
      </c>
      <c r="T116" s="200"/>
      <c r="U116" s="224" t="s">
        <v>160</v>
      </c>
      <c r="V116" s="144" t="s">
        <v>210</v>
      </c>
    </row>
    <row r="117" spans="4:22">
      <c r="D117" s="289"/>
      <c r="E117" s="200">
        <v>8</v>
      </c>
      <c r="F117" s="200" t="s">
        <v>1567</v>
      </c>
      <c r="G117" s="200" t="s">
        <v>151</v>
      </c>
      <c r="H117" s="200" t="s">
        <v>1921</v>
      </c>
      <c r="I117" s="340" t="str">
        <f>PROPER("JUAN CARLOS RUA RESTREPO")</f>
        <v>Juan Carlos Rua Restrepo</v>
      </c>
      <c r="J117" s="341">
        <v>71743390</v>
      </c>
      <c r="K117" s="200" t="s">
        <v>1187</v>
      </c>
      <c r="L117" s="191"/>
      <c r="M117" s="238"/>
      <c r="N117" s="200" t="s">
        <v>1588</v>
      </c>
      <c r="O117" s="341">
        <v>3117282795</v>
      </c>
      <c r="P117" s="200"/>
      <c r="Q117" s="200" t="s">
        <v>1686</v>
      </c>
      <c r="R117" s="327" t="s">
        <v>1585</v>
      </c>
      <c r="S117" s="328" t="s">
        <v>1585</v>
      </c>
      <c r="T117" s="200"/>
      <c r="U117" s="224" t="s">
        <v>160</v>
      </c>
      <c r="V117" s="144" t="s">
        <v>210</v>
      </c>
    </row>
    <row r="118" spans="4:22">
      <c r="D118" s="289"/>
      <c r="E118" s="200">
        <v>8</v>
      </c>
      <c r="F118" s="200" t="s">
        <v>1567</v>
      </c>
      <c r="G118" s="200" t="s">
        <v>151</v>
      </c>
      <c r="H118" s="201" t="s">
        <v>1921</v>
      </c>
      <c r="I118" s="357" t="str">
        <f>PROPER("JORGE HUMBERTO VILLEGAS LOPEZ")</f>
        <v>Jorge Humberto Villegas Lopez</v>
      </c>
      <c r="J118" s="341">
        <v>71687452</v>
      </c>
      <c r="K118" s="200" t="s">
        <v>1187</v>
      </c>
      <c r="L118" s="191"/>
      <c r="M118" s="238"/>
      <c r="N118" s="200" t="s">
        <v>1588</v>
      </c>
      <c r="O118" s="341">
        <v>3155108045</v>
      </c>
      <c r="P118" s="200"/>
      <c r="Q118" s="200" t="s">
        <v>1686</v>
      </c>
      <c r="R118" s="327" t="s">
        <v>1585</v>
      </c>
      <c r="S118" s="328" t="s">
        <v>1585</v>
      </c>
      <c r="T118" s="200"/>
      <c r="U118" s="224" t="s">
        <v>160</v>
      </c>
      <c r="V118" s="144" t="s">
        <v>210</v>
      </c>
    </row>
    <row r="119" spans="4:22">
      <c r="D119" s="824" t="s">
        <v>2290</v>
      </c>
      <c r="E119" s="755">
        <v>8</v>
      </c>
      <c r="F119" s="755" t="s">
        <v>1567</v>
      </c>
      <c r="G119" s="755" t="s">
        <v>151</v>
      </c>
      <c r="H119" s="755" t="s">
        <v>1922</v>
      </c>
      <c r="I119" s="755" t="str">
        <f>PROPER("LUIS EMILIO CANO VELASQUEZ")</f>
        <v>Luis Emilio Cano Velasquez</v>
      </c>
      <c r="J119" s="843">
        <v>71950937</v>
      </c>
      <c r="K119" s="755" t="s">
        <v>1187</v>
      </c>
      <c r="L119" s="765"/>
      <c r="M119" s="757"/>
      <c r="N119" s="755" t="s">
        <v>1588</v>
      </c>
      <c r="O119" s="842">
        <v>3193946665</v>
      </c>
      <c r="P119" s="755"/>
      <c r="Q119" s="755"/>
      <c r="R119" s="836" t="s">
        <v>1585</v>
      </c>
      <c r="S119" s="837" t="s">
        <v>1585</v>
      </c>
      <c r="T119" s="755"/>
      <c r="U119" s="760" t="s">
        <v>166</v>
      </c>
      <c r="V119" s="761" t="s">
        <v>210</v>
      </c>
    </row>
    <row r="120" spans="4:22">
      <c r="D120" s="289"/>
      <c r="E120" s="195">
        <v>8</v>
      </c>
      <c r="F120" s="195" t="s">
        <v>1567</v>
      </c>
      <c r="G120" s="195" t="s">
        <v>151</v>
      </c>
      <c r="H120" s="195" t="s">
        <v>1922</v>
      </c>
      <c r="I120" s="195" t="str">
        <f>PROPER("JULIAN ANDREI JIMENEZ LAVERDE")</f>
        <v>Julian Andrei Jimenez Laverde</v>
      </c>
      <c r="J120" s="349">
        <v>1017158550</v>
      </c>
      <c r="K120" s="195" t="s">
        <v>1187</v>
      </c>
      <c r="L120" s="177"/>
      <c r="M120" s="239"/>
      <c r="N120" s="195" t="s">
        <v>1588</v>
      </c>
      <c r="O120" s="343">
        <v>3237993324</v>
      </c>
      <c r="P120" s="195"/>
      <c r="Q120" s="195"/>
      <c r="R120" s="330" t="s">
        <v>1585</v>
      </c>
      <c r="S120" s="331" t="s">
        <v>1585</v>
      </c>
      <c r="T120" s="195"/>
      <c r="U120" s="221" t="s">
        <v>160</v>
      </c>
      <c r="V120" s="144" t="s">
        <v>210</v>
      </c>
    </row>
    <row r="121" spans="4:22">
      <c r="D121" s="289"/>
      <c r="E121" s="195">
        <v>8</v>
      </c>
      <c r="F121" s="195" t="s">
        <v>1567</v>
      </c>
      <c r="G121" s="195" t="s">
        <v>151</v>
      </c>
      <c r="H121" s="195" t="s">
        <v>1922</v>
      </c>
      <c r="I121" s="195" t="str">
        <f>PROPER("YEISON EDUARDO MORENO ASPRILLA")</f>
        <v>Yeison Eduardo Moreno Asprilla</v>
      </c>
      <c r="J121" s="349">
        <v>1045518896</v>
      </c>
      <c r="K121" s="195" t="s">
        <v>1187</v>
      </c>
      <c r="L121" s="177"/>
      <c r="M121" s="239"/>
      <c r="N121" s="195" t="s">
        <v>1588</v>
      </c>
      <c r="O121" s="343">
        <v>3246572569</v>
      </c>
      <c r="P121" s="195"/>
      <c r="Q121" s="195"/>
      <c r="R121" s="330" t="s">
        <v>1585</v>
      </c>
      <c r="S121" s="331" t="s">
        <v>1585</v>
      </c>
      <c r="T121" s="195"/>
      <c r="U121" s="221" t="s">
        <v>160</v>
      </c>
      <c r="V121" s="144" t="s">
        <v>210</v>
      </c>
    </row>
    <row r="122" spans="4:22">
      <c r="D122" s="289"/>
      <c r="E122" s="195">
        <v>8</v>
      </c>
      <c r="F122" s="195" t="s">
        <v>1567</v>
      </c>
      <c r="G122" s="195" t="s">
        <v>151</v>
      </c>
      <c r="H122" s="195" t="s">
        <v>1922</v>
      </c>
      <c r="I122" s="195" t="str">
        <f>PROPER("JUAN DE LA CRUZ GARCIA")</f>
        <v>Juan De La Cruz Garcia</v>
      </c>
      <c r="J122" s="349">
        <v>8317314</v>
      </c>
      <c r="K122" s="195" t="s">
        <v>1187</v>
      </c>
      <c r="L122" s="177"/>
      <c r="M122" s="239"/>
      <c r="N122" s="195" t="s">
        <v>1588</v>
      </c>
      <c r="O122" s="343">
        <v>3193946665</v>
      </c>
      <c r="P122" s="195"/>
      <c r="Q122" s="195"/>
      <c r="R122" s="330" t="s">
        <v>1585</v>
      </c>
      <c r="S122" s="331" t="s">
        <v>1585</v>
      </c>
      <c r="T122" s="195"/>
      <c r="U122" s="221" t="s">
        <v>160</v>
      </c>
      <c r="V122" s="144" t="s">
        <v>210</v>
      </c>
    </row>
    <row r="123" spans="4:22">
      <c r="D123" s="289"/>
      <c r="E123" s="195">
        <v>8</v>
      </c>
      <c r="F123" s="195" t="s">
        <v>1567</v>
      </c>
      <c r="G123" s="195" t="s">
        <v>151</v>
      </c>
      <c r="H123" s="195" t="s">
        <v>1922</v>
      </c>
      <c r="I123" s="195" t="str">
        <f>PROPER("AUGUSTO IBARGUEN VALOYES")</f>
        <v>Augusto Ibarguen Valoyes</v>
      </c>
      <c r="J123" s="349">
        <v>11795079</v>
      </c>
      <c r="K123" s="195" t="s">
        <v>1187</v>
      </c>
      <c r="L123" s="177"/>
      <c r="M123" s="239"/>
      <c r="N123" s="195" t="s">
        <v>1588</v>
      </c>
      <c r="O123" s="343">
        <v>3143022206</v>
      </c>
      <c r="P123" s="195"/>
      <c r="Q123" s="195"/>
      <c r="R123" s="330" t="s">
        <v>1585</v>
      </c>
      <c r="S123" s="331" t="s">
        <v>1585</v>
      </c>
      <c r="T123" s="195"/>
      <c r="U123" s="221" t="s">
        <v>160</v>
      </c>
      <c r="V123" s="144" t="s">
        <v>210</v>
      </c>
    </row>
    <row r="124" spans="4:22">
      <c r="D124" s="289"/>
      <c r="E124" s="195">
        <v>8</v>
      </c>
      <c r="F124" s="195" t="s">
        <v>1567</v>
      </c>
      <c r="G124" s="195" t="s">
        <v>151</v>
      </c>
      <c r="H124" s="195" t="s">
        <v>1922</v>
      </c>
      <c r="I124" s="195" t="str">
        <f>PROPER("AMAURY SEBASTIAN MOSQUERA LOPEZ")</f>
        <v>Amaury Sebastian Mosquera Lopez</v>
      </c>
      <c r="J124" s="349">
        <v>1011513849</v>
      </c>
      <c r="K124" s="195" t="s">
        <v>1187</v>
      </c>
      <c r="L124" s="177"/>
      <c r="M124" s="239"/>
      <c r="N124" s="195" t="s">
        <v>1588</v>
      </c>
      <c r="O124" s="343">
        <v>3005208643</v>
      </c>
      <c r="P124" s="195"/>
      <c r="Q124" s="195"/>
      <c r="R124" s="330" t="s">
        <v>1585</v>
      </c>
      <c r="S124" s="331" t="s">
        <v>1585</v>
      </c>
      <c r="T124" s="195"/>
      <c r="U124" s="221" t="s">
        <v>160</v>
      </c>
      <c r="V124" s="144" t="s">
        <v>210</v>
      </c>
    </row>
    <row r="125" spans="4:22">
      <c r="D125" s="824" t="s">
        <v>2290</v>
      </c>
      <c r="E125" s="755">
        <v>8</v>
      </c>
      <c r="F125" s="755" t="s">
        <v>1567</v>
      </c>
      <c r="G125" s="755" t="s">
        <v>151</v>
      </c>
      <c r="H125" s="755" t="s">
        <v>1923</v>
      </c>
      <c r="I125" s="755" t="s">
        <v>2321</v>
      </c>
      <c r="J125" s="755">
        <v>1020418644</v>
      </c>
      <c r="K125" s="755" t="s">
        <v>1191</v>
      </c>
      <c r="L125" s="755"/>
      <c r="M125" s="755">
        <v>38</v>
      </c>
      <c r="N125" s="755"/>
      <c r="O125" s="755">
        <v>3215276715</v>
      </c>
      <c r="P125" s="755" t="s">
        <v>2322</v>
      </c>
      <c r="Q125" s="755" t="s">
        <v>2314</v>
      </c>
      <c r="R125" s="755" t="s">
        <v>1585</v>
      </c>
      <c r="S125" s="755" t="s">
        <v>1585</v>
      </c>
      <c r="T125" s="755"/>
      <c r="U125" s="755" t="s">
        <v>166</v>
      </c>
      <c r="V125" s="761" t="s">
        <v>210</v>
      </c>
    </row>
    <row r="126" spans="4:22">
      <c r="D126" s="289"/>
      <c r="E126" s="196">
        <v>8</v>
      </c>
      <c r="F126" s="196" t="s">
        <v>1567</v>
      </c>
      <c r="G126" s="196" t="s">
        <v>151</v>
      </c>
      <c r="H126" s="196" t="s">
        <v>1923</v>
      </c>
      <c r="I126" s="196" t="s">
        <v>2310</v>
      </c>
      <c r="J126" s="196">
        <v>1020418694</v>
      </c>
      <c r="K126" s="196" t="s">
        <v>1187</v>
      </c>
      <c r="L126" s="196"/>
      <c r="M126" s="196"/>
      <c r="N126" s="196" t="s">
        <v>1588</v>
      </c>
      <c r="O126" s="196">
        <v>3215276715</v>
      </c>
      <c r="P126" s="196"/>
      <c r="Q126" s="196"/>
      <c r="R126" s="196" t="s">
        <v>1585</v>
      </c>
      <c r="S126" s="196" t="s">
        <v>1585</v>
      </c>
      <c r="T126" s="196"/>
      <c r="U126" s="196" t="s">
        <v>160</v>
      </c>
      <c r="V126" s="144" t="s">
        <v>210</v>
      </c>
    </row>
    <row r="127" spans="4:22">
      <c r="D127" s="289"/>
      <c r="E127" s="196">
        <v>8</v>
      </c>
      <c r="F127" s="196" t="s">
        <v>1567</v>
      </c>
      <c r="G127" s="196" t="s">
        <v>151</v>
      </c>
      <c r="H127" s="196" t="s">
        <v>1923</v>
      </c>
      <c r="I127" s="196" t="s">
        <v>2311</v>
      </c>
      <c r="J127" s="196">
        <v>26318886</v>
      </c>
      <c r="K127" s="196" t="s">
        <v>1191</v>
      </c>
      <c r="L127" s="196"/>
      <c r="M127" s="196"/>
      <c r="N127" s="196" t="s">
        <v>1588</v>
      </c>
      <c r="O127" s="196">
        <v>3218329795</v>
      </c>
      <c r="P127" s="196"/>
      <c r="Q127" s="196"/>
      <c r="R127" s="196" t="s">
        <v>1585</v>
      </c>
      <c r="S127" s="196" t="s">
        <v>1585</v>
      </c>
      <c r="T127" s="196"/>
      <c r="U127" s="196" t="s">
        <v>160</v>
      </c>
      <c r="V127" s="144" t="s">
        <v>210</v>
      </c>
    </row>
    <row r="128" spans="4:22">
      <c r="D128" s="289"/>
      <c r="E128" s="196">
        <v>8</v>
      </c>
      <c r="F128" s="196" t="s">
        <v>1567</v>
      </c>
      <c r="G128" s="196" t="s">
        <v>151</v>
      </c>
      <c r="H128" s="196" t="s">
        <v>1923</v>
      </c>
      <c r="I128" s="196" t="s">
        <v>2312</v>
      </c>
      <c r="J128" s="196" t="s">
        <v>2313</v>
      </c>
      <c r="K128" s="196" t="s">
        <v>1187</v>
      </c>
      <c r="L128" s="196"/>
      <c r="M128" s="196">
        <v>59</v>
      </c>
      <c r="N128" s="196" t="s">
        <v>1588</v>
      </c>
      <c r="O128" s="196">
        <v>3136365609</v>
      </c>
      <c r="P128" s="196" t="s">
        <v>2226</v>
      </c>
      <c r="Q128" s="196" t="s">
        <v>2314</v>
      </c>
      <c r="R128" s="196" t="s">
        <v>1585</v>
      </c>
      <c r="S128" s="196" t="s">
        <v>1585</v>
      </c>
      <c r="T128" s="196"/>
      <c r="U128" s="196" t="s">
        <v>160</v>
      </c>
      <c r="V128" s="144" t="s">
        <v>210</v>
      </c>
    </row>
    <row r="129" spans="4:22">
      <c r="D129" s="289"/>
      <c r="E129" s="196">
        <v>8</v>
      </c>
      <c r="F129" s="196" t="s">
        <v>1567</v>
      </c>
      <c r="G129" s="196" t="s">
        <v>151</v>
      </c>
      <c r="H129" s="196" t="s">
        <v>1923</v>
      </c>
      <c r="I129" s="196" t="s">
        <v>2315</v>
      </c>
      <c r="J129" s="196">
        <v>1004011158</v>
      </c>
      <c r="K129" s="196" t="s">
        <v>1191</v>
      </c>
      <c r="L129" s="196"/>
      <c r="M129" s="196">
        <v>25</v>
      </c>
      <c r="N129" s="196" t="s">
        <v>1588</v>
      </c>
      <c r="O129" s="196">
        <v>3133321215</v>
      </c>
      <c r="P129" s="196" t="s">
        <v>2316</v>
      </c>
      <c r="Q129" s="196" t="s">
        <v>2314</v>
      </c>
      <c r="R129" s="196" t="s">
        <v>1585</v>
      </c>
      <c r="S129" s="196" t="s">
        <v>1585</v>
      </c>
      <c r="T129" s="196"/>
      <c r="U129" s="196" t="s">
        <v>160</v>
      </c>
      <c r="V129" s="144" t="s">
        <v>210</v>
      </c>
    </row>
    <row r="130" spans="4:22">
      <c r="D130" s="289"/>
      <c r="E130" s="196">
        <v>8</v>
      </c>
      <c r="F130" s="196" t="s">
        <v>1567</v>
      </c>
      <c r="G130" s="196" t="s">
        <v>151</v>
      </c>
      <c r="H130" s="196" t="s">
        <v>1923</v>
      </c>
      <c r="I130" s="196" t="s">
        <v>2317</v>
      </c>
      <c r="J130" s="196">
        <v>1078000003</v>
      </c>
      <c r="K130" s="196" t="s">
        <v>1191</v>
      </c>
      <c r="L130" s="196"/>
      <c r="M130" s="196">
        <v>18</v>
      </c>
      <c r="N130" s="196" t="s">
        <v>1588</v>
      </c>
      <c r="O130" s="196">
        <v>314719877</v>
      </c>
      <c r="P130" s="196" t="s">
        <v>2318</v>
      </c>
      <c r="Q130" s="196" t="s">
        <v>2314</v>
      </c>
      <c r="R130" s="196" t="s">
        <v>1585</v>
      </c>
      <c r="S130" s="196" t="s">
        <v>1585</v>
      </c>
      <c r="T130" s="196"/>
      <c r="U130" s="196" t="s">
        <v>160</v>
      </c>
      <c r="V130" s="144" t="s">
        <v>210</v>
      </c>
    </row>
    <row r="131" spans="4:22">
      <c r="D131" s="289"/>
      <c r="E131" s="196">
        <v>8</v>
      </c>
      <c r="F131" s="196" t="s">
        <v>1567</v>
      </c>
      <c r="G131" s="196" t="s">
        <v>151</v>
      </c>
      <c r="H131" s="196" t="s">
        <v>1923</v>
      </c>
      <c r="I131" s="196" t="s">
        <v>2319</v>
      </c>
      <c r="J131" s="196">
        <v>1025649046</v>
      </c>
      <c r="K131" s="196" t="s">
        <v>1187</v>
      </c>
      <c r="L131" s="196"/>
      <c r="M131" s="196">
        <v>21</v>
      </c>
      <c r="N131" s="196" t="s">
        <v>1588</v>
      </c>
      <c r="O131" s="196">
        <v>3244791737</v>
      </c>
      <c r="P131" s="196" t="s">
        <v>2320</v>
      </c>
      <c r="Q131" s="196" t="s">
        <v>2314</v>
      </c>
      <c r="R131" s="196" t="s">
        <v>1585</v>
      </c>
      <c r="S131" s="196" t="s">
        <v>1585</v>
      </c>
      <c r="T131" s="196"/>
      <c r="U131" s="196" t="s">
        <v>160</v>
      </c>
      <c r="V131" s="144" t="s">
        <v>210</v>
      </c>
    </row>
    <row r="132" spans="4:22">
      <c r="D132" s="289"/>
      <c r="E132" s="196">
        <v>8</v>
      </c>
      <c r="F132" s="196" t="s">
        <v>1567</v>
      </c>
      <c r="G132" s="196" t="s">
        <v>151</v>
      </c>
      <c r="H132" s="196" t="s">
        <v>1923</v>
      </c>
      <c r="I132" s="196" t="s">
        <v>2321</v>
      </c>
      <c r="J132" s="196">
        <v>1020418644</v>
      </c>
      <c r="K132" s="196" t="s">
        <v>1191</v>
      </c>
      <c r="L132" s="196"/>
      <c r="M132" s="196">
        <v>38</v>
      </c>
      <c r="N132" s="196" t="s">
        <v>1588</v>
      </c>
      <c r="O132" s="196">
        <v>3215276715</v>
      </c>
      <c r="P132" s="196" t="s">
        <v>2322</v>
      </c>
      <c r="Q132" s="196" t="s">
        <v>2314</v>
      </c>
      <c r="R132" s="196" t="s">
        <v>1585</v>
      </c>
      <c r="S132" s="196" t="s">
        <v>1585</v>
      </c>
      <c r="T132" s="196"/>
      <c r="U132" s="196" t="s">
        <v>160</v>
      </c>
      <c r="V132" s="144" t="s">
        <v>210</v>
      </c>
    </row>
    <row r="133" spans="4:22">
      <c r="D133" s="289"/>
      <c r="E133" s="196">
        <v>8</v>
      </c>
      <c r="F133" s="196" t="s">
        <v>1567</v>
      </c>
      <c r="G133" s="196" t="s">
        <v>151</v>
      </c>
      <c r="H133" s="196" t="s">
        <v>1923</v>
      </c>
      <c r="I133" s="196" t="s">
        <v>2323</v>
      </c>
      <c r="J133" s="196">
        <v>1025655119</v>
      </c>
      <c r="K133" s="196" t="s">
        <v>1191</v>
      </c>
      <c r="L133" s="196"/>
      <c r="M133" s="196">
        <v>19</v>
      </c>
      <c r="N133" s="196" t="s">
        <v>1588</v>
      </c>
      <c r="O133" s="196">
        <v>3018010802</v>
      </c>
      <c r="P133" s="196" t="s">
        <v>2324</v>
      </c>
      <c r="Q133" s="196" t="s">
        <v>2314</v>
      </c>
      <c r="R133" s="196" t="s">
        <v>1585</v>
      </c>
      <c r="S133" s="196" t="s">
        <v>1585</v>
      </c>
      <c r="T133" s="196"/>
      <c r="U133" s="196" t="s">
        <v>160</v>
      </c>
      <c r="V133" s="144" t="s">
        <v>210</v>
      </c>
    </row>
    <row r="134" spans="4:22">
      <c r="D134" s="289"/>
      <c r="E134" s="196">
        <v>8</v>
      </c>
      <c r="F134" s="196" t="s">
        <v>1567</v>
      </c>
      <c r="G134" s="196" t="s">
        <v>151</v>
      </c>
      <c r="H134" s="196" t="s">
        <v>1923</v>
      </c>
      <c r="I134" s="196" t="s">
        <v>2325</v>
      </c>
      <c r="J134" s="196">
        <v>1015187346</v>
      </c>
      <c r="K134" s="196" t="s">
        <v>1191</v>
      </c>
      <c r="L134" s="196"/>
      <c r="M134" s="196"/>
      <c r="N134" s="196" t="s">
        <v>1588</v>
      </c>
      <c r="O134" s="196">
        <v>3005217416</v>
      </c>
      <c r="P134" s="196"/>
      <c r="Q134" s="196"/>
      <c r="R134" s="196" t="s">
        <v>1585</v>
      </c>
      <c r="S134" s="196" t="s">
        <v>1585</v>
      </c>
      <c r="T134" s="196"/>
      <c r="U134" s="196" t="s">
        <v>160</v>
      </c>
      <c r="V134" s="144" t="s">
        <v>210</v>
      </c>
    </row>
    <row r="135" spans="4:22">
      <c r="D135" s="289"/>
      <c r="E135" s="196">
        <v>8</v>
      </c>
      <c r="F135" s="196" t="s">
        <v>1567</v>
      </c>
      <c r="G135" s="196" t="s">
        <v>151</v>
      </c>
      <c r="H135" s="196" t="s">
        <v>1923</v>
      </c>
      <c r="I135" s="196" t="s">
        <v>2326</v>
      </c>
      <c r="J135" s="196">
        <v>1076383302</v>
      </c>
      <c r="K135" s="196" t="s">
        <v>1191</v>
      </c>
      <c r="L135" s="196"/>
      <c r="M135" s="196"/>
      <c r="N135" s="196" t="s">
        <v>1588</v>
      </c>
      <c r="O135" s="196">
        <v>3105160617</v>
      </c>
      <c r="P135" s="196"/>
      <c r="Q135" s="196"/>
      <c r="R135" s="196" t="s">
        <v>1585</v>
      </c>
      <c r="S135" s="196" t="s">
        <v>1585</v>
      </c>
      <c r="T135" s="196"/>
      <c r="U135" s="196" t="s">
        <v>160</v>
      </c>
      <c r="V135" s="144" t="s">
        <v>210</v>
      </c>
    </row>
    <row r="136" spans="4:22">
      <c r="D136" s="824" t="s">
        <v>2290</v>
      </c>
      <c r="E136" s="755">
        <v>8</v>
      </c>
      <c r="F136" s="755" t="s">
        <v>1567</v>
      </c>
      <c r="G136" s="755" t="s">
        <v>151</v>
      </c>
      <c r="H136" s="755" t="s">
        <v>870</v>
      </c>
      <c r="I136" s="755" t="str">
        <f>PROPER("LUZ MERY BORJA ECHAVARRIA")</f>
        <v>Luz Mery Borja Echavarria</v>
      </c>
      <c r="J136" s="843">
        <v>43584574</v>
      </c>
      <c r="K136" s="755" t="s">
        <v>1191</v>
      </c>
      <c r="L136" s="765"/>
      <c r="M136" s="757"/>
      <c r="N136" s="755" t="s">
        <v>1588</v>
      </c>
      <c r="O136" s="842">
        <v>3042455437</v>
      </c>
      <c r="P136" s="755"/>
      <c r="Q136" s="755" t="s">
        <v>870</v>
      </c>
      <c r="R136" s="836" t="s">
        <v>1585</v>
      </c>
      <c r="S136" s="837" t="s">
        <v>1585</v>
      </c>
      <c r="T136" s="755"/>
      <c r="U136" s="760" t="s">
        <v>166</v>
      </c>
      <c r="V136" s="761" t="s">
        <v>210</v>
      </c>
    </row>
    <row r="137" spans="4:22">
      <c r="D137" s="289"/>
      <c r="E137" s="137">
        <v>8</v>
      </c>
      <c r="F137" s="137" t="s">
        <v>1567</v>
      </c>
      <c r="G137" s="137" t="s">
        <v>151</v>
      </c>
      <c r="H137" s="137" t="s">
        <v>870</v>
      </c>
      <c r="I137" s="137" t="str">
        <f>PROPER("GLORIA ELENA GARCIA CORRALES")</f>
        <v>Gloria Elena Garcia Corrales</v>
      </c>
      <c r="J137" s="351">
        <v>43073884</v>
      </c>
      <c r="K137" s="137" t="s">
        <v>1191</v>
      </c>
      <c r="L137" s="179"/>
      <c r="M137" s="286"/>
      <c r="N137" s="137" t="s">
        <v>1588</v>
      </c>
      <c r="O137" s="337">
        <v>3012816677</v>
      </c>
      <c r="P137" s="137"/>
      <c r="Q137" s="137" t="s">
        <v>870</v>
      </c>
      <c r="R137" s="338" t="s">
        <v>1585</v>
      </c>
      <c r="S137" s="339" t="s">
        <v>1585</v>
      </c>
      <c r="T137" s="137"/>
      <c r="U137" s="223" t="s">
        <v>160</v>
      </c>
      <c r="V137" s="144" t="s">
        <v>210</v>
      </c>
    </row>
    <row r="138" spans="4:22">
      <c r="D138" s="289"/>
      <c r="E138" s="137">
        <v>8</v>
      </c>
      <c r="F138" s="137" t="s">
        <v>1567</v>
      </c>
      <c r="G138" s="137" t="s">
        <v>151</v>
      </c>
      <c r="H138" s="137" t="s">
        <v>870</v>
      </c>
      <c r="I138" s="137" t="str">
        <f>PROPER("JUAN ESTEBAN DAVID RESTREPO")</f>
        <v>Juan Esteban David Restrepo</v>
      </c>
      <c r="J138" s="351">
        <v>71230409</v>
      </c>
      <c r="K138" s="137" t="s">
        <v>1187</v>
      </c>
      <c r="L138" s="179"/>
      <c r="M138" s="286"/>
      <c r="N138" s="137" t="s">
        <v>1588</v>
      </c>
      <c r="O138" s="337"/>
      <c r="P138" s="137"/>
      <c r="Q138" s="137" t="s">
        <v>870</v>
      </c>
      <c r="R138" s="338" t="s">
        <v>1585</v>
      </c>
      <c r="S138" s="339" t="s">
        <v>1585</v>
      </c>
      <c r="T138" s="137"/>
      <c r="U138" s="223" t="s">
        <v>160</v>
      </c>
      <c r="V138" s="144" t="s">
        <v>210</v>
      </c>
    </row>
    <row r="139" spans="4:22">
      <c r="D139" s="289"/>
      <c r="E139" s="137">
        <v>8</v>
      </c>
      <c r="F139" s="137" t="s">
        <v>1567</v>
      </c>
      <c r="G139" s="137" t="s">
        <v>151</v>
      </c>
      <c r="H139" s="137" t="s">
        <v>870</v>
      </c>
      <c r="I139" s="137" t="str">
        <f>PROPER("AMANDA DEL SOCORRO ARBOLEDA")</f>
        <v>Amanda Del Socorro Arboleda</v>
      </c>
      <c r="J139" s="351">
        <v>22147949</v>
      </c>
      <c r="K139" s="137" t="s">
        <v>1191</v>
      </c>
      <c r="L139" s="179"/>
      <c r="M139" s="286"/>
      <c r="N139" s="137" t="s">
        <v>1588</v>
      </c>
      <c r="O139" s="337"/>
      <c r="P139" s="137"/>
      <c r="Q139" s="137" t="s">
        <v>870</v>
      </c>
      <c r="R139" s="338" t="s">
        <v>1585</v>
      </c>
      <c r="S139" s="339" t="s">
        <v>1585</v>
      </c>
      <c r="T139" s="137"/>
      <c r="U139" s="223" t="s">
        <v>160</v>
      </c>
      <c r="V139" s="144" t="s">
        <v>210</v>
      </c>
    </row>
    <row r="140" spans="4:22">
      <c r="D140" s="289"/>
      <c r="E140" s="137">
        <v>8</v>
      </c>
      <c r="F140" s="137" t="s">
        <v>1567</v>
      </c>
      <c r="G140" s="137" t="s">
        <v>151</v>
      </c>
      <c r="H140" s="137" t="s">
        <v>870</v>
      </c>
      <c r="I140" s="137" t="str">
        <f>PROPER("LUZ STELLA ARBOLEDA GRAJALES")</f>
        <v>Luz Stella Arboleda Grajales</v>
      </c>
      <c r="J140" s="351">
        <v>43921802</v>
      </c>
      <c r="K140" s="137" t="s">
        <v>1191</v>
      </c>
      <c r="L140" s="179"/>
      <c r="M140" s="286"/>
      <c r="N140" s="137" t="s">
        <v>1588</v>
      </c>
      <c r="O140" s="337">
        <v>3233621209</v>
      </c>
      <c r="P140" s="137"/>
      <c r="Q140" s="137" t="s">
        <v>870</v>
      </c>
      <c r="R140" s="338" t="s">
        <v>1585</v>
      </c>
      <c r="S140" s="339" t="s">
        <v>1585</v>
      </c>
      <c r="T140" s="137"/>
      <c r="U140" s="223" t="s">
        <v>160</v>
      </c>
      <c r="V140" s="144" t="s">
        <v>210</v>
      </c>
    </row>
    <row r="141" spans="4:22">
      <c r="D141" s="289"/>
      <c r="E141" s="137">
        <v>8</v>
      </c>
      <c r="F141" s="137" t="s">
        <v>1567</v>
      </c>
      <c r="G141" s="137" t="s">
        <v>151</v>
      </c>
      <c r="H141" s="137" t="s">
        <v>870</v>
      </c>
      <c r="I141" s="137" t="str">
        <f>PROPER("GLORIA ISABEL USUGA TUBERQUIA")</f>
        <v>Gloria Isabel Usuga Tuberquia</v>
      </c>
      <c r="J141" s="351">
        <v>1128270013</v>
      </c>
      <c r="K141" s="137" t="s">
        <v>1191</v>
      </c>
      <c r="L141" s="179"/>
      <c r="M141" s="286"/>
      <c r="N141" s="137" t="s">
        <v>1588</v>
      </c>
      <c r="O141" s="337">
        <v>3042342717</v>
      </c>
      <c r="P141" s="137"/>
      <c r="Q141" s="137" t="s">
        <v>870</v>
      </c>
      <c r="R141" s="338" t="s">
        <v>1585</v>
      </c>
      <c r="S141" s="339" t="s">
        <v>1585</v>
      </c>
      <c r="T141" s="137"/>
      <c r="U141" s="223" t="s">
        <v>160</v>
      </c>
      <c r="V141" s="144" t="s">
        <v>210</v>
      </c>
    </row>
    <row r="142" spans="4:22">
      <c r="D142" s="824" t="s">
        <v>2290</v>
      </c>
      <c r="E142" s="755">
        <v>8</v>
      </c>
      <c r="F142" s="755" t="s">
        <v>1567</v>
      </c>
      <c r="G142" s="755" t="s">
        <v>151</v>
      </c>
      <c r="H142" s="755" t="s">
        <v>871</v>
      </c>
      <c r="I142" s="755" t="str">
        <f>PROPER("DULCE MARIA JARAMILLO")</f>
        <v>Dulce Maria Jaramillo</v>
      </c>
      <c r="J142" s="843">
        <v>1018299850</v>
      </c>
      <c r="K142" s="755" t="s">
        <v>1191</v>
      </c>
      <c r="L142" s="765"/>
      <c r="M142" s="757"/>
      <c r="N142" s="755" t="s">
        <v>1588</v>
      </c>
      <c r="O142" s="842">
        <v>3014980509</v>
      </c>
      <c r="P142" s="755"/>
      <c r="Q142" s="755" t="s">
        <v>871</v>
      </c>
      <c r="R142" s="836" t="s">
        <v>1585</v>
      </c>
      <c r="S142" s="837" t="s">
        <v>1585</v>
      </c>
      <c r="T142" s="755"/>
      <c r="U142" s="760" t="s">
        <v>166</v>
      </c>
      <c r="V142" s="761" t="s">
        <v>210</v>
      </c>
    </row>
    <row r="143" spans="4:22">
      <c r="D143" s="289"/>
      <c r="E143" s="200">
        <v>8</v>
      </c>
      <c r="F143" s="200" t="s">
        <v>1567</v>
      </c>
      <c r="G143" s="200" t="s">
        <v>151</v>
      </c>
      <c r="H143" s="200" t="s">
        <v>871</v>
      </c>
      <c r="I143" s="200" t="str">
        <f>PROPER("JUDY ESMERALDA ALVAREZ CANO")</f>
        <v>Judy Esmeralda Alvarez Cano</v>
      </c>
      <c r="J143" s="352">
        <v>43581890</v>
      </c>
      <c r="K143" s="200" t="s">
        <v>1191</v>
      </c>
      <c r="L143" s="191"/>
      <c r="M143" s="238"/>
      <c r="N143" s="200" t="s">
        <v>1588</v>
      </c>
      <c r="O143" s="341">
        <v>3135738110</v>
      </c>
      <c r="P143" s="200"/>
      <c r="Q143" s="200" t="s">
        <v>871</v>
      </c>
      <c r="R143" s="327" t="s">
        <v>1585</v>
      </c>
      <c r="S143" s="328" t="s">
        <v>1585</v>
      </c>
      <c r="T143" s="200"/>
      <c r="U143" s="224" t="s">
        <v>160</v>
      </c>
      <c r="V143" s="144" t="s">
        <v>210</v>
      </c>
    </row>
    <row r="144" spans="4:22">
      <c r="D144" s="289"/>
      <c r="E144" s="200">
        <v>8</v>
      </c>
      <c r="F144" s="200" t="s">
        <v>1567</v>
      </c>
      <c r="G144" s="200" t="s">
        <v>151</v>
      </c>
      <c r="H144" s="200" t="s">
        <v>871</v>
      </c>
      <c r="I144" s="200" t="str">
        <f>PROPER("DEICI GLEMI DURANGO GIRALDO")</f>
        <v>Deici Glemi Durango Giraldo</v>
      </c>
      <c r="J144" s="352">
        <v>39408832</v>
      </c>
      <c r="K144" s="200" t="s">
        <v>1191</v>
      </c>
      <c r="L144" s="191"/>
      <c r="M144" s="238"/>
      <c r="N144" s="200" t="s">
        <v>1588</v>
      </c>
      <c r="O144" s="341">
        <v>3118890343</v>
      </c>
      <c r="P144" s="200"/>
      <c r="Q144" s="200" t="s">
        <v>871</v>
      </c>
      <c r="R144" s="327" t="s">
        <v>1585</v>
      </c>
      <c r="S144" s="328" t="s">
        <v>1585</v>
      </c>
      <c r="T144" s="200"/>
      <c r="U144" s="224" t="s">
        <v>160</v>
      </c>
      <c r="V144" s="144" t="s">
        <v>210</v>
      </c>
    </row>
    <row r="145" spans="4:22" ht="19.2" customHeight="1">
      <c r="D145" s="289"/>
      <c r="E145" s="200">
        <v>8</v>
      </c>
      <c r="F145" s="200" t="s">
        <v>1567</v>
      </c>
      <c r="G145" s="200" t="s">
        <v>151</v>
      </c>
      <c r="H145" s="200" t="s">
        <v>871</v>
      </c>
      <c r="I145" s="200" t="str">
        <f>PROPER("NORMA EDITH JARAMILLO HOYOS")</f>
        <v>Norma Edith Jaramillo Hoyos</v>
      </c>
      <c r="J145" s="352">
        <v>50924085</v>
      </c>
      <c r="K145" s="200" t="s">
        <v>1191</v>
      </c>
      <c r="L145" s="191"/>
      <c r="M145" s="238"/>
      <c r="N145" s="200" t="s">
        <v>1588</v>
      </c>
      <c r="O145" s="341">
        <v>3125069303</v>
      </c>
      <c r="P145" s="200"/>
      <c r="Q145" s="200" t="s">
        <v>871</v>
      </c>
      <c r="R145" s="327" t="s">
        <v>1585</v>
      </c>
      <c r="S145" s="328" t="s">
        <v>1585</v>
      </c>
      <c r="T145" s="200"/>
      <c r="U145" s="224" t="s">
        <v>160</v>
      </c>
      <c r="V145" s="144" t="s">
        <v>210</v>
      </c>
    </row>
    <row r="146" spans="4:22">
      <c r="D146" s="289"/>
      <c r="E146" s="200">
        <v>8</v>
      </c>
      <c r="F146" s="200" t="s">
        <v>1567</v>
      </c>
      <c r="G146" s="200" t="s">
        <v>151</v>
      </c>
      <c r="H146" s="200" t="s">
        <v>871</v>
      </c>
      <c r="I146" s="200" t="str">
        <f>PROPER("ADRIANA MARIA GRAJALES RAMIREZ")</f>
        <v>Adriana Maria Grajales Ramirez</v>
      </c>
      <c r="J146" s="352">
        <v>43508438</v>
      </c>
      <c r="K146" s="200" t="s">
        <v>1191</v>
      </c>
      <c r="L146" s="191"/>
      <c r="M146" s="238"/>
      <c r="N146" s="200" t="s">
        <v>1588</v>
      </c>
      <c r="O146" s="341">
        <v>3122912522</v>
      </c>
      <c r="P146" s="200"/>
      <c r="Q146" s="200" t="s">
        <v>871</v>
      </c>
      <c r="R146" s="327" t="s">
        <v>1585</v>
      </c>
      <c r="S146" s="328" t="s">
        <v>1585</v>
      </c>
      <c r="T146" s="200"/>
      <c r="U146" s="224" t="s">
        <v>160</v>
      </c>
      <c r="V146" s="144" t="s">
        <v>210</v>
      </c>
    </row>
    <row r="147" spans="4:22">
      <c r="D147" s="289"/>
      <c r="E147" s="200">
        <v>8</v>
      </c>
      <c r="F147" s="200" t="s">
        <v>1567</v>
      </c>
      <c r="G147" s="200" t="s">
        <v>151</v>
      </c>
      <c r="H147" s="200" t="s">
        <v>871</v>
      </c>
      <c r="I147" s="200" t="str">
        <f>PROPER("JAVIER EDUARDO HERNANDEZ RUEDA")</f>
        <v>Javier Eduardo Hernandez Rueda</v>
      </c>
      <c r="J147" s="352">
        <v>71627581</v>
      </c>
      <c r="K147" s="200" t="s">
        <v>1187</v>
      </c>
      <c r="L147" s="191"/>
      <c r="M147" s="238"/>
      <c r="N147" s="200" t="s">
        <v>1588</v>
      </c>
      <c r="O147" s="341">
        <v>3186901651</v>
      </c>
      <c r="P147" s="200"/>
      <c r="Q147" s="200" t="s">
        <v>871</v>
      </c>
      <c r="R147" s="327" t="s">
        <v>1585</v>
      </c>
      <c r="S147" s="328" t="s">
        <v>1585</v>
      </c>
      <c r="T147" s="200"/>
      <c r="U147" s="224" t="s">
        <v>160</v>
      </c>
      <c r="V147" s="144" t="s">
        <v>210</v>
      </c>
    </row>
    <row r="148" spans="4:22">
      <c r="D148" s="824" t="s">
        <v>2290</v>
      </c>
      <c r="E148" s="755">
        <v>8</v>
      </c>
      <c r="F148" s="755" t="s">
        <v>1567</v>
      </c>
      <c r="G148" s="755" t="s">
        <v>151</v>
      </c>
      <c r="H148" s="755" t="s">
        <v>1924</v>
      </c>
      <c r="I148" s="755" t="str">
        <f>PROPER("EMILLY ALEXANDRA RUDA FRANCO")</f>
        <v>Emilly Alexandra Ruda Franco</v>
      </c>
      <c r="J148" s="843">
        <v>1020493588</v>
      </c>
      <c r="K148" s="755" t="s">
        <v>1191</v>
      </c>
      <c r="L148" s="765"/>
      <c r="M148" s="757"/>
      <c r="N148" s="755" t="s">
        <v>1588</v>
      </c>
      <c r="O148" s="842">
        <v>3054484645</v>
      </c>
      <c r="P148" s="755"/>
      <c r="Q148" s="755" t="s">
        <v>870</v>
      </c>
      <c r="R148" s="836" t="s">
        <v>1585</v>
      </c>
      <c r="S148" s="837" t="s">
        <v>1585</v>
      </c>
      <c r="T148" s="755"/>
      <c r="U148" s="760" t="s">
        <v>166</v>
      </c>
      <c r="V148" s="761" t="s">
        <v>210</v>
      </c>
    </row>
    <row r="149" spans="4:22">
      <c r="D149" s="289"/>
      <c r="E149" s="195">
        <v>8</v>
      </c>
      <c r="F149" s="195" t="s">
        <v>1567</v>
      </c>
      <c r="G149" s="195" t="s">
        <v>151</v>
      </c>
      <c r="H149" s="195" t="s">
        <v>1924</v>
      </c>
      <c r="I149" s="195" t="str">
        <f>PROPER("SOR MARIBEL DE JESUS FRANCO CHALARCA")</f>
        <v>Sor Maribel De Jesus Franco Chalarca</v>
      </c>
      <c r="J149" s="349">
        <v>42791642</v>
      </c>
      <c r="K149" s="195" t="s">
        <v>1191</v>
      </c>
      <c r="L149" s="177"/>
      <c r="M149" s="239"/>
      <c r="N149" s="195" t="s">
        <v>1588</v>
      </c>
      <c r="O149" s="343">
        <v>304536554</v>
      </c>
      <c r="P149" s="195"/>
      <c r="Q149" s="195" t="s">
        <v>870</v>
      </c>
      <c r="R149" s="330" t="s">
        <v>1585</v>
      </c>
      <c r="S149" s="331" t="s">
        <v>1585</v>
      </c>
      <c r="T149" s="195"/>
      <c r="U149" s="221" t="s">
        <v>160</v>
      </c>
      <c r="V149" s="144" t="s">
        <v>210</v>
      </c>
    </row>
    <row r="150" spans="4:22">
      <c r="D150" s="289"/>
      <c r="E150" s="195">
        <v>8</v>
      </c>
      <c r="F150" s="195" t="s">
        <v>1567</v>
      </c>
      <c r="G150" s="195" t="s">
        <v>151</v>
      </c>
      <c r="H150" s="195" t="s">
        <v>1924</v>
      </c>
      <c r="I150" s="195" t="str">
        <f>PROPER("BLANCA LIBIAFRANCO CHALARCA")</f>
        <v>Blanca Libiafranco Chalarca</v>
      </c>
      <c r="J150" s="349">
        <v>42770987</v>
      </c>
      <c r="K150" s="195" t="s">
        <v>1191</v>
      </c>
      <c r="L150" s="177"/>
      <c r="M150" s="239"/>
      <c r="N150" s="195" t="s">
        <v>1588</v>
      </c>
      <c r="O150" s="343">
        <v>3228899087</v>
      </c>
      <c r="P150" s="195"/>
      <c r="Q150" s="195" t="s">
        <v>870</v>
      </c>
      <c r="R150" s="330" t="s">
        <v>1585</v>
      </c>
      <c r="S150" s="331" t="s">
        <v>1585</v>
      </c>
      <c r="T150" s="195"/>
      <c r="U150" s="221" t="s">
        <v>160</v>
      </c>
      <c r="V150" s="144" t="s">
        <v>210</v>
      </c>
    </row>
    <row r="151" spans="4:22">
      <c r="D151" s="289"/>
      <c r="E151" s="195">
        <v>8</v>
      </c>
      <c r="F151" s="195" t="s">
        <v>1567</v>
      </c>
      <c r="G151" s="195" t="s">
        <v>151</v>
      </c>
      <c r="H151" s="195" t="s">
        <v>1924</v>
      </c>
      <c r="I151" s="195" t="str">
        <f>PROPER("BLANCA ELENA SERNA JARAMILLO")</f>
        <v>Blanca Elena Serna Jaramillo</v>
      </c>
      <c r="J151" s="349">
        <v>32141205</v>
      </c>
      <c r="K151" s="195" t="s">
        <v>1191</v>
      </c>
      <c r="L151" s="177"/>
      <c r="M151" s="239"/>
      <c r="N151" s="195" t="s">
        <v>1588</v>
      </c>
      <c r="O151" s="343">
        <v>3014141861</v>
      </c>
      <c r="P151" s="195"/>
      <c r="Q151" s="195" t="s">
        <v>870</v>
      </c>
      <c r="R151" s="330" t="s">
        <v>1585</v>
      </c>
      <c r="S151" s="331" t="s">
        <v>1585</v>
      </c>
      <c r="T151" s="195"/>
      <c r="U151" s="221" t="s">
        <v>160</v>
      </c>
      <c r="V151" s="144" t="s">
        <v>210</v>
      </c>
    </row>
    <row r="152" spans="4:22">
      <c r="D152" s="289"/>
      <c r="E152" s="195">
        <v>8</v>
      </c>
      <c r="F152" s="195" t="s">
        <v>1567</v>
      </c>
      <c r="G152" s="195" t="s">
        <v>151</v>
      </c>
      <c r="H152" s="195" t="s">
        <v>1924</v>
      </c>
      <c r="I152" s="195" t="str">
        <f>PROPER("ERIKA DANIELA RAMIREZ MONSALVE")</f>
        <v>Erika Daniela Ramirez Monsalve</v>
      </c>
      <c r="J152" s="349">
        <v>1017234640</v>
      </c>
      <c r="K152" s="195" t="s">
        <v>1191</v>
      </c>
      <c r="L152" s="177"/>
      <c r="M152" s="239"/>
      <c r="N152" s="195" t="s">
        <v>1588</v>
      </c>
      <c r="O152" s="343">
        <v>3043427417</v>
      </c>
      <c r="P152" s="195"/>
      <c r="Q152" s="195" t="s">
        <v>870</v>
      </c>
      <c r="R152" s="330" t="s">
        <v>1585</v>
      </c>
      <c r="S152" s="331" t="s">
        <v>1585</v>
      </c>
      <c r="T152" s="195"/>
      <c r="U152" s="221" t="s">
        <v>160</v>
      </c>
      <c r="V152" s="144" t="s">
        <v>210</v>
      </c>
    </row>
    <row r="153" spans="4:22">
      <c r="D153" s="289"/>
      <c r="E153" s="195">
        <v>8</v>
      </c>
      <c r="F153" s="195" t="s">
        <v>1567</v>
      </c>
      <c r="G153" s="195" t="s">
        <v>151</v>
      </c>
      <c r="H153" s="195" t="s">
        <v>1924</v>
      </c>
      <c r="I153" s="195" t="str">
        <f>PROPER("EMMANUEL RUDA FRANCO")</f>
        <v>Emmanuel Ruda Franco</v>
      </c>
      <c r="J153" s="349">
        <v>1036598103</v>
      </c>
      <c r="K153" s="195" t="s">
        <v>1187</v>
      </c>
      <c r="L153" s="177"/>
      <c r="M153" s="239"/>
      <c r="N153" s="195" t="s">
        <v>1588</v>
      </c>
      <c r="O153" s="343">
        <v>3013133589</v>
      </c>
      <c r="P153" s="195"/>
      <c r="Q153" s="195" t="s">
        <v>870</v>
      </c>
      <c r="R153" s="330" t="s">
        <v>1585</v>
      </c>
      <c r="S153" s="331" t="s">
        <v>1585</v>
      </c>
      <c r="T153" s="195"/>
      <c r="U153" s="221" t="s">
        <v>160</v>
      </c>
      <c r="V153" s="144" t="s">
        <v>210</v>
      </c>
    </row>
    <row r="154" spans="4:22">
      <c r="D154" s="824"/>
      <c r="E154" s="755">
        <v>8</v>
      </c>
      <c r="F154" s="755" t="s">
        <v>1567</v>
      </c>
      <c r="G154" s="755" t="s">
        <v>151</v>
      </c>
      <c r="H154" s="755" t="s">
        <v>1924</v>
      </c>
      <c r="I154" s="755" t="str">
        <f>PROPER("LUZ DARY RESTREPO RIOS")</f>
        <v>Luz Dary Restrepo Rios</v>
      </c>
      <c r="J154" s="843">
        <v>43510298</v>
      </c>
      <c r="K154" s="755" t="s">
        <v>1191</v>
      </c>
      <c r="L154" s="765"/>
      <c r="M154" s="757"/>
      <c r="N154" s="755" t="s">
        <v>1588</v>
      </c>
      <c r="O154" s="842">
        <v>3012904856</v>
      </c>
      <c r="P154" s="755"/>
      <c r="Q154" s="755" t="s">
        <v>870</v>
      </c>
      <c r="R154" s="836" t="s">
        <v>1585</v>
      </c>
      <c r="S154" s="837" t="s">
        <v>1585</v>
      </c>
      <c r="T154" s="755"/>
      <c r="U154" s="760" t="s">
        <v>166</v>
      </c>
      <c r="V154" s="761" t="s">
        <v>210</v>
      </c>
    </row>
    <row r="155" spans="4:22">
      <c r="D155" s="824" t="s">
        <v>2290</v>
      </c>
      <c r="E155" s="755">
        <v>8</v>
      </c>
      <c r="F155" s="755" t="s">
        <v>1567</v>
      </c>
      <c r="G155" s="755" t="s">
        <v>151</v>
      </c>
      <c r="H155" s="755" t="s">
        <v>872</v>
      </c>
      <c r="I155" s="844" t="str">
        <f>PROPER("JUAN PABLO AGUIRRE GARZON")</f>
        <v>Juan Pablo Aguirre Garzon</v>
      </c>
      <c r="J155" s="843">
        <v>1000536027</v>
      </c>
      <c r="K155" s="755" t="s">
        <v>1187</v>
      </c>
      <c r="L155" s="765"/>
      <c r="M155" s="757"/>
      <c r="N155" s="755" t="s">
        <v>1588</v>
      </c>
      <c r="O155" s="842">
        <v>3115983307</v>
      </c>
      <c r="P155" s="755"/>
      <c r="Q155" s="755" t="s">
        <v>1679</v>
      </c>
      <c r="R155" s="836" t="s">
        <v>1585</v>
      </c>
      <c r="S155" s="837" t="s">
        <v>1585</v>
      </c>
      <c r="T155" s="755"/>
      <c r="U155" s="760" t="s">
        <v>166</v>
      </c>
      <c r="V155" s="761" t="s">
        <v>210</v>
      </c>
    </row>
    <row r="156" spans="4:22">
      <c r="D156" s="289"/>
      <c r="E156" s="196">
        <v>8</v>
      </c>
      <c r="F156" s="196" t="s">
        <v>1567</v>
      </c>
      <c r="G156" s="196" t="s">
        <v>151</v>
      </c>
      <c r="H156" s="196" t="s">
        <v>872</v>
      </c>
      <c r="I156" s="358" t="str">
        <f>PROPER("DAHIANA LONDOÑO LOPEZ")</f>
        <v>Dahiana Londoño Lopez</v>
      </c>
      <c r="J156" s="350">
        <v>1000559286</v>
      </c>
      <c r="K156" s="196" t="s">
        <v>1191</v>
      </c>
      <c r="L156" s="178"/>
      <c r="M156" s="283"/>
      <c r="N156" s="196" t="s">
        <v>1588</v>
      </c>
      <c r="O156" s="345">
        <v>3218292848</v>
      </c>
      <c r="P156" s="196"/>
      <c r="Q156" s="196" t="s">
        <v>1679</v>
      </c>
      <c r="R156" s="334" t="s">
        <v>1585</v>
      </c>
      <c r="S156" s="335" t="s">
        <v>1585</v>
      </c>
      <c r="T156" s="196"/>
      <c r="U156" s="222" t="s">
        <v>160</v>
      </c>
      <c r="V156" s="144" t="s">
        <v>210</v>
      </c>
    </row>
    <row r="157" spans="4:22">
      <c r="D157" s="289"/>
      <c r="E157" s="196">
        <v>8</v>
      </c>
      <c r="F157" s="196" t="s">
        <v>1567</v>
      </c>
      <c r="G157" s="196" t="s">
        <v>151</v>
      </c>
      <c r="H157" s="196" t="s">
        <v>872</v>
      </c>
      <c r="I157" s="358" t="str">
        <f>PROPER("JORGE LEONARDO MUÑOZ SANCHEZ")</f>
        <v>Jorge Leonardo Muñoz Sanchez</v>
      </c>
      <c r="J157" s="350">
        <v>1036618296</v>
      </c>
      <c r="K157" s="196" t="s">
        <v>1187</v>
      </c>
      <c r="L157" s="178"/>
      <c r="M157" s="283"/>
      <c r="N157" s="196" t="s">
        <v>1588</v>
      </c>
      <c r="O157" s="345">
        <v>3128590059</v>
      </c>
      <c r="P157" s="196"/>
      <c r="Q157" s="196" t="s">
        <v>1679</v>
      </c>
      <c r="R157" s="334" t="s">
        <v>1585</v>
      </c>
      <c r="S157" s="335" t="s">
        <v>1585</v>
      </c>
      <c r="T157" s="196"/>
      <c r="U157" s="222" t="s">
        <v>160</v>
      </c>
      <c r="V157" s="144" t="s">
        <v>210</v>
      </c>
    </row>
    <row r="158" spans="4:22">
      <c r="D158" s="289"/>
      <c r="E158" s="196">
        <v>8</v>
      </c>
      <c r="F158" s="196" t="s">
        <v>1567</v>
      </c>
      <c r="G158" s="196" t="s">
        <v>151</v>
      </c>
      <c r="H158" s="196" t="s">
        <v>872</v>
      </c>
      <c r="I158" s="196" t="str">
        <f>PROPER("NINFA UTA SALAS")</f>
        <v>Ninfa Uta Salas</v>
      </c>
      <c r="J158" s="353">
        <v>1011686232</v>
      </c>
      <c r="K158" s="196" t="s">
        <v>1191</v>
      </c>
      <c r="L158" s="178"/>
      <c r="M158" s="283"/>
      <c r="N158" s="196" t="s">
        <v>1588</v>
      </c>
      <c r="O158" s="345">
        <v>3242918009</v>
      </c>
      <c r="P158" s="196"/>
      <c r="Q158" s="196" t="s">
        <v>1679</v>
      </c>
      <c r="R158" s="334" t="s">
        <v>1585</v>
      </c>
      <c r="S158" s="335" t="s">
        <v>1585</v>
      </c>
      <c r="T158" s="196"/>
      <c r="U158" s="222" t="s">
        <v>160</v>
      </c>
      <c r="V158" s="144" t="s">
        <v>210</v>
      </c>
    </row>
    <row r="159" spans="4:22">
      <c r="D159" s="289"/>
      <c r="E159" s="196">
        <v>8</v>
      </c>
      <c r="F159" s="196" t="s">
        <v>1567</v>
      </c>
      <c r="G159" s="196" t="s">
        <v>151</v>
      </c>
      <c r="H159" s="196" t="s">
        <v>872</v>
      </c>
      <c r="I159" s="196" t="str">
        <f>PROPER("ANDRES SANTIAGO AGUIRRE ECHEVERRY")</f>
        <v>Andres Santiago Aguirre Echeverry</v>
      </c>
      <c r="J159" s="353">
        <v>1000537777</v>
      </c>
      <c r="K159" s="196" t="s">
        <v>1187</v>
      </c>
      <c r="L159" s="178"/>
      <c r="M159" s="283"/>
      <c r="N159" s="196" t="s">
        <v>1588</v>
      </c>
      <c r="O159" s="345">
        <v>3044059742</v>
      </c>
      <c r="P159" s="196"/>
      <c r="Q159" s="196" t="s">
        <v>1679</v>
      </c>
      <c r="R159" s="334" t="s">
        <v>1585</v>
      </c>
      <c r="S159" s="335" t="s">
        <v>1585</v>
      </c>
      <c r="T159" s="196"/>
      <c r="U159" s="222" t="s">
        <v>160</v>
      </c>
      <c r="V159" s="144" t="s">
        <v>210</v>
      </c>
    </row>
    <row r="160" spans="4:22">
      <c r="D160" s="289"/>
      <c r="E160" s="196">
        <v>8</v>
      </c>
      <c r="F160" s="196" t="s">
        <v>1567</v>
      </c>
      <c r="G160" s="196" t="s">
        <v>151</v>
      </c>
      <c r="H160" s="196" t="s">
        <v>872</v>
      </c>
      <c r="I160" s="358" t="str">
        <f>PROPER("EVELYN SORAYA GAVIRIA HINCAPIE")</f>
        <v>Evelyn Soraya Gaviria Hincapie</v>
      </c>
      <c r="J160" s="350">
        <v>1017183879</v>
      </c>
      <c r="K160" s="196" t="s">
        <v>1191</v>
      </c>
      <c r="L160" s="178"/>
      <c r="M160" s="283"/>
      <c r="N160" s="196" t="s">
        <v>1588</v>
      </c>
      <c r="O160" s="345">
        <v>3043608743</v>
      </c>
      <c r="P160" s="196"/>
      <c r="Q160" s="196" t="s">
        <v>1679</v>
      </c>
      <c r="R160" s="334" t="s">
        <v>1585</v>
      </c>
      <c r="S160" s="335" t="s">
        <v>1585</v>
      </c>
      <c r="T160" s="196"/>
      <c r="U160" s="222" t="s">
        <v>160</v>
      </c>
      <c r="V160" s="144" t="s">
        <v>210</v>
      </c>
    </row>
    <row r="161" spans="4:22">
      <c r="D161" s="824" t="s">
        <v>2290</v>
      </c>
      <c r="E161" s="755">
        <v>8</v>
      </c>
      <c r="F161" s="755" t="s">
        <v>1567</v>
      </c>
      <c r="G161" s="755" t="s">
        <v>151</v>
      </c>
      <c r="H161" s="755" t="s">
        <v>873</v>
      </c>
      <c r="I161" s="755" t="str">
        <f>PROPER("JOSE ELISIO ORTIZ MORENO")</f>
        <v>Jose Elisio Ortiz Moreno</v>
      </c>
      <c r="J161" s="843">
        <v>71970367</v>
      </c>
      <c r="K161" s="755" t="s">
        <v>1187</v>
      </c>
      <c r="L161" s="765"/>
      <c r="M161" s="757"/>
      <c r="N161" s="755" t="s">
        <v>1588</v>
      </c>
      <c r="O161" s="842">
        <v>320572340</v>
      </c>
      <c r="P161" s="755"/>
      <c r="Q161" s="755"/>
      <c r="R161" s="836" t="s">
        <v>1585</v>
      </c>
      <c r="S161" s="837" t="s">
        <v>1585</v>
      </c>
      <c r="T161" s="755"/>
      <c r="U161" s="760" t="s">
        <v>166</v>
      </c>
      <c r="V161" s="761" t="s">
        <v>210</v>
      </c>
    </row>
    <row r="162" spans="4:22">
      <c r="D162" s="289"/>
      <c r="E162" s="137">
        <v>8</v>
      </c>
      <c r="F162" s="137" t="s">
        <v>1567</v>
      </c>
      <c r="G162" s="137" t="s">
        <v>151</v>
      </c>
      <c r="H162" s="137" t="s">
        <v>873</v>
      </c>
      <c r="I162" s="137" t="str">
        <f>PROPER("ANA ZOILA ROSERO MENA")</f>
        <v>Ana Zoila Rosero Mena</v>
      </c>
      <c r="J162" s="351">
        <v>54256954</v>
      </c>
      <c r="K162" s="137" t="s">
        <v>1191</v>
      </c>
      <c r="L162" s="179"/>
      <c r="M162" s="286"/>
      <c r="N162" s="137" t="s">
        <v>1588</v>
      </c>
      <c r="O162" s="337">
        <v>3245274065</v>
      </c>
      <c r="P162" s="137"/>
      <c r="Q162" s="137"/>
      <c r="R162" s="338" t="s">
        <v>1585</v>
      </c>
      <c r="S162" s="339" t="s">
        <v>1585</v>
      </c>
      <c r="T162" s="137"/>
      <c r="U162" s="223" t="s">
        <v>160</v>
      </c>
      <c r="V162" s="144" t="s">
        <v>210</v>
      </c>
    </row>
    <row r="163" spans="4:22">
      <c r="D163" s="289"/>
      <c r="E163" s="137">
        <v>8</v>
      </c>
      <c r="F163" s="137" t="s">
        <v>1567</v>
      </c>
      <c r="G163" s="137" t="s">
        <v>151</v>
      </c>
      <c r="H163" s="137" t="s">
        <v>873</v>
      </c>
      <c r="I163" s="137" t="str">
        <f>PROPER("VALENCIA IBARGUEN TANIA")</f>
        <v>Valencia Ibarguen Tania</v>
      </c>
      <c r="J163" s="351">
        <v>1025660323</v>
      </c>
      <c r="K163" s="137" t="s">
        <v>1191</v>
      </c>
      <c r="L163" s="179"/>
      <c r="M163" s="286"/>
      <c r="N163" s="137" t="s">
        <v>1588</v>
      </c>
      <c r="O163" s="337">
        <v>3042254452</v>
      </c>
      <c r="P163" s="137"/>
      <c r="Q163" s="137"/>
      <c r="R163" s="338" t="s">
        <v>1585</v>
      </c>
      <c r="S163" s="339" t="s">
        <v>1585</v>
      </c>
      <c r="T163" s="137"/>
      <c r="U163" s="223" t="s">
        <v>160</v>
      </c>
      <c r="V163" s="144" t="s">
        <v>210</v>
      </c>
    </row>
    <row r="164" spans="4:22">
      <c r="D164" s="289"/>
      <c r="E164" s="137">
        <v>8</v>
      </c>
      <c r="F164" s="137" t="s">
        <v>1567</v>
      </c>
      <c r="G164" s="137" t="s">
        <v>151</v>
      </c>
      <c r="H164" s="137" t="s">
        <v>873</v>
      </c>
      <c r="I164" s="137" t="str">
        <f>PROPER("JHON JAIRO TOVAR RAMOS")</f>
        <v>Jhon Jairo Tovar Ramos</v>
      </c>
      <c r="J164" s="351">
        <v>1078917990</v>
      </c>
      <c r="K164" s="137" t="s">
        <v>1187</v>
      </c>
      <c r="L164" s="179"/>
      <c r="M164" s="286"/>
      <c r="N164" s="137" t="s">
        <v>1588</v>
      </c>
      <c r="O164" s="337">
        <v>3214686407</v>
      </c>
      <c r="P164" s="137"/>
      <c r="Q164" s="137"/>
      <c r="R164" s="338" t="s">
        <v>1585</v>
      </c>
      <c r="S164" s="339" t="s">
        <v>1585</v>
      </c>
      <c r="T164" s="137"/>
      <c r="U164" s="223" t="s">
        <v>160</v>
      </c>
      <c r="V164" s="144" t="s">
        <v>210</v>
      </c>
    </row>
    <row r="165" spans="4:22">
      <c r="D165" s="289"/>
      <c r="E165" s="137">
        <v>8</v>
      </c>
      <c r="F165" s="137" t="s">
        <v>1567</v>
      </c>
      <c r="G165" s="137" t="s">
        <v>151</v>
      </c>
      <c r="H165" s="137" t="s">
        <v>873</v>
      </c>
      <c r="I165" s="137" t="str">
        <f>PROPER("ALVARO ANTONIO OSTEN ARROYO")</f>
        <v>Alvaro Antonio Osten Arroyo</v>
      </c>
      <c r="J165" s="351">
        <v>71982394</v>
      </c>
      <c r="K165" s="137" t="s">
        <v>1187</v>
      </c>
      <c r="L165" s="179"/>
      <c r="M165" s="286"/>
      <c r="N165" s="137" t="s">
        <v>1588</v>
      </c>
      <c r="O165" s="337">
        <v>32052348</v>
      </c>
      <c r="P165" s="137"/>
      <c r="Q165" s="137"/>
      <c r="R165" s="338" t="s">
        <v>1585</v>
      </c>
      <c r="S165" s="339" t="s">
        <v>1585</v>
      </c>
      <c r="T165" s="137"/>
      <c r="U165" s="223" t="s">
        <v>160</v>
      </c>
      <c r="V165" s="144" t="s">
        <v>210</v>
      </c>
    </row>
    <row r="166" spans="4:22">
      <c r="D166" s="289"/>
      <c r="E166" s="137">
        <v>8</v>
      </c>
      <c r="F166" s="137" t="s">
        <v>1567</v>
      </c>
      <c r="G166" s="137" t="s">
        <v>151</v>
      </c>
      <c r="H166" s="137" t="s">
        <v>873</v>
      </c>
      <c r="I166" s="137" t="str">
        <f>PROPER("SANDRA MARIA TORRES URRUTIA")</f>
        <v>Sandra Maria Torres Urrutia</v>
      </c>
      <c r="J166" s="348">
        <v>66942906</v>
      </c>
      <c r="K166" s="137" t="s">
        <v>1191</v>
      </c>
      <c r="L166" s="179"/>
      <c r="M166" s="286"/>
      <c r="N166" s="137" t="s">
        <v>1588</v>
      </c>
      <c r="O166" s="348">
        <v>3127921891</v>
      </c>
      <c r="P166" s="137"/>
      <c r="Q166" s="137"/>
      <c r="R166" s="338" t="s">
        <v>1585</v>
      </c>
      <c r="S166" s="339" t="s">
        <v>1585</v>
      </c>
      <c r="T166" s="137"/>
      <c r="U166" s="223" t="s">
        <v>160</v>
      </c>
      <c r="V166" s="144" t="s">
        <v>210</v>
      </c>
    </row>
    <row r="167" spans="4:22">
      <c r="D167" s="824" t="s">
        <v>2290</v>
      </c>
      <c r="E167" s="755">
        <v>8</v>
      </c>
      <c r="F167" s="755" t="s">
        <v>1567</v>
      </c>
      <c r="G167" s="755" t="s">
        <v>151</v>
      </c>
      <c r="H167" s="755" t="s">
        <v>1925</v>
      </c>
      <c r="I167" s="755" t="str">
        <f>PROPER("JOSE YADIT YANES DORIA")</f>
        <v>Jose Yadit Yanes Doria</v>
      </c>
      <c r="J167" s="753">
        <v>78324527</v>
      </c>
      <c r="K167" s="755" t="s">
        <v>1187</v>
      </c>
      <c r="L167" s="765"/>
      <c r="M167" s="757"/>
      <c r="N167" s="755" t="s">
        <v>1588</v>
      </c>
      <c r="O167" s="755"/>
      <c r="P167" s="755"/>
      <c r="Q167" s="755" t="s">
        <v>870</v>
      </c>
      <c r="R167" s="836" t="s">
        <v>1585</v>
      </c>
      <c r="S167" s="837" t="s">
        <v>1585</v>
      </c>
      <c r="T167" s="755"/>
      <c r="U167" s="760" t="s">
        <v>166</v>
      </c>
      <c r="V167" s="761" t="s">
        <v>210</v>
      </c>
    </row>
    <row r="168" spans="4:22">
      <c r="D168" s="289"/>
      <c r="E168" s="200">
        <v>8</v>
      </c>
      <c r="F168" s="200" t="s">
        <v>1567</v>
      </c>
      <c r="G168" s="200" t="s">
        <v>151</v>
      </c>
      <c r="H168" s="200" t="s">
        <v>1925</v>
      </c>
      <c r="I168" s="200" t="str">
        <f>PROPER("ISMAEL LOPEZ")</f>
        <v>Ismael Lopez</v>
      </c>
      <c r="J168" s="354">
        <v>7193459</v>
      </c>
      <c r="K168" s="200" t="s">
        <v>1187</v>
      </c>
      <c r="L168" s="191"/>
      <c r="M168" s="238"/>
      <c r="N168" s="200" t="s">
        <v>1588</v>
      </c>
      <c r="O168" s="200"/>
      <c r="P168" s="200"/>
      <c r="Q168" s="200" t="s">
        <v>870</v>
      </c>
      <c r="R168" s="327" t="s">
        <v>1585</v>
      </c>
      <c r="S168" s="328" t="s">
        <v>1585</v>
      </c>
      <c r="T168" s="200"/>
      <c r="U168" s="224" t="s">
        <v>160</v>
      </c>
      <c r="V168" s="144" t="s">
        <v>210</v>
      </c>
    </row>
    <row r="169" spans="4:22">
      <c r="D169" s="289"/>
      <c r="E169" s="200">
        <v>8</v>
      </c>
      <c r="F169" s="200" t="s">
        <v>1567</v>
      </c>
      <c r="G169" s="200" t="s">
        <v>151</v>
      </c>
      <c r="H169" s="200" t="s">
        <v>1925</v>
      </c>
      <c r="I169" s="200" t="str">
        <f>PROPER("EUGENIA GOMEZ SALDARRIAGA")</f>
        <v>Eugenia Gomez Saldarriaga</v>
      </c>
      <c r="J169" s="355">
        <v>22024467</v>
      </c>
      <c r="K169" s="200" t="s">
        <v>1191</v>
      </c>
      <c r="L169" s="191"/>
      <c r="M169" s="238"/>
      <c r="N169" s="200" t="s">
        <v>1588</v>
      </c>
      <c r="O169" s="200"/>
      <c r="P169" s="200"/>
      <c r="Q169" s="200" t="s">
        <v>870</v>
      </c>
      <c r="R169" s="327" t="s">
        <v>1585</v>
      </c>
      <c r="S169" s="328" t="s">
        <v>1585</v>
      </c>
      <c r="T169" s="200"/>
      <c r="U169" s="224" t="s">
        <v>160</v>
      </c>
      <c r="V169" s="144" t="s">
        <v>210</v>
      </c>
    </row>
    <row r="170" spans="4:22">
      <c r="D170" s="289"/>
      <c r="E170" s="200">
        <v>8</v>
      </c>
      <c r="F170" s="200" t="s">
        <v>1567</v>
      </c>
      <c r="G170" s="200" t="s">
        <v>151</v>
      </c>
      <c r="H170" s="200" t="s">
        <v>1925</v>
      </c>
      <c r="I170" s="200" t="str">
        <f>PROPER("AURA ROSA SEGURO HERRERA")</f>
        <v>Aura Rosa Seguro Herrera</v>
      </c>
      <c r="J170" s="355">
        <v>43262864</v>
      </c>
      <c r="K170" s="200" t="s">
        <v>1191</v>
      </c>
      <c r="L170" s="191"/>
      <c r="M170" s="238"/>
      <c r="N170" s="200" t="s">
        <v>1588</v>
      </c>
      <c r="O170" s="200"/>
      <c r="P170" s="200"/>
      <c r="Q170" s="200" t="s">
        <v>870</v>
      </c>
      <c r="R170" s="327" t="s">
        <v>1585</v>
      </c>
      <c r="S170" s="328" t="s">
        <v>1585</v>
      </c>
      <c r="T170" s="200"/>
      <c r="U170" s="224" t="s">
        <v>160</v>
      </c>
      <c r="V170" s="144" t="s">
        <v>210</v>
      </c>
    </row>
    <row r="171" spans="4:22">
      <c r="D171" s="289"/>
      <c r="E171" s="200">
        <v>8</v>
      </c>
      <c r="F171" s="200" t="s">
        <v>1567</v>
      </c>
      <c r="G171" s="200" t="s">
        <v>151</v>
      </c>
      <c r="H171" s="200" t="s">
        <v>1925</v>
      </c>
      <c r="I171" s="200" t="str">
        <f>PROPER("DUVAN ALBERTO RAMIREZ VASQUEZ")</f>
        <v>Duvan Alberto Ramirez Vasquez</v>
      </c>
      <c r="J171" s="355">
        <v>71174405</v>
      </c>
      <c r="K171" s="200" t="s">
        <v>1187</v>
      </c>
      <c r="L171" s="191"/>
      <c r="M171" s="238"/>
      <c r="N171" s="200" t="s">
        <v>1588</v>
      </c>
      <c r="O171" s="200">
        <v>3244570286</v>
      </c>
      <c r="P171" s="200"/>
      <c r="Q171" s="200" t="s">
        <v>870</v>
      </c>
      <c r="R171" s="327" t="s">
        <v>1585</v>
      </c>
      <c r="S171" s="328" t="s">
        <v>1585</v>
      </c>
      <c r="T171" s="200"/>
      <c r="U171" s="224" t="s">
        <v>160</v>
      </c>
      <c r="V171" s="144" t="s">
        <v>210</v>
      </c>
    </row>
    <row r="172" spans="4:22">
      <c r="D172" s="289"/>
      <c r="E172" s="200">
        <v>8</v>
      </c>
      <c r="F172" s="200" t="s">
        <v>1567</v>
      </c>
      <c r="G172" s="200" t="s">
        <v>151</v>
      </c>
      <c r="H172" s="200" t="s">
        <v>1925</v>
      </c>
      <c r="I172" s="200" t="str">
        <f>PROPER("ADER JAVIER BENITEZ RODRIGUEZ")</f>
        <v>Ader Javier Benitez Rodriguez</v>
      </c>
      <c r="J172" s="355">
        <v>98569566</v>
      </c>
      <c r="K172" s="200" t="s">
        <v>1187</v>
      </c>
      <c r="L172" s="191"/>
      <c r="M172" s="238"/>
      <c r="N172" s="200" t="s">
        <v>1588</v>
      </c>
      <c r="O172" s="200">
        <v>3028535926</v>
      </c>
      <c r="P172" s="200"/>
      <c r="Q172" s="200" t="s">
        <v>870</v>
      </c>
      <c r="R172" s="327" t="s">
        <v>1585</v>
      </c>
      <c r="S172" s="328" t="s">
        <v>1585</v>
      </c>
      <c r="T172" s="200"/>
      <c r="U172" s="224" t="s">
        <v>160</v>
      </c>
      <c r="V172" s="144" t="s">
        <v>210</v>
      </c>
    </row>
    <row r="173" spans="4:22">
      <c r="D173" s="824" t="s">
        <v>2290</v>
      </c>
      <c r="E173" s="755">
        <v>8</v>
      </c>
      <c r="F173" s="755" t="s">
        <v>1567</v>
      </c>
      <c r="G173" s="755" t="s">
        <v>151</v>
      </c>
      <c r="H173" s="823" t="s">
        <v>1927</v>
      </c>
      <c r="I173" s="755" t="str">
        <f>PROPER("BEATRIS ELENA MARTINEZ TORO")</f>
        <v>Beatris Elena Martinez Toro</v>
      </c>
      <c r="J173" s="843">
        <v>21476489</v>
      </c>
      <c r="K173" s="755" t="s">
        <v>1191</v>
      </c>
      <c r="L173" s="765"/>
      <c r="M173" s="757"/>
      <c r="N173" s="755" t="s">
        <v>1588</v>
      </c>
      <c r="O173" s="842">
        <v>3002459915</v>
      </c>
      <c r="P173" s="755"/>
      <c r="Q173" s="755" t="s">
        <v>1681</v>
      </c>
      <c r="R173" s="836" t="s">
        <v>1585</v>
      </c>
      <c r="S173" s="837" t="s">
        <v>1585</v>
      </c>
      <c r="T173" s="755"/>
      <c r="U173" s="760" t="s">
        <v>166</v>
      </c>
      <c r="V173" s="761" t="s">
        <v>210</v>
      </c>
    </row>
    <row r="174" spans="4:22">
      <c r="D174" s="289"/>
      <c r="E174" s="195">
        <v>8</v>
      </c>
      <c r="F174" s="195" t="s">
        <v>1567</v>
      </c>
      <c r="G174" s="195" t="s">
        <v>151</v>
      </c>
      <c r="H174" s="308" t="s">
        <v>1927</v>
      </c>
      <c r="I174" s="195" t="str">
        <f>PROPER("FERNANDO TANGARIFE CASTAÑEDA")</f>
        <v>Fernando Tangarife Castañeda</v>
      </c>
      <c r="J174" s="356">
        <v>5934563</v>
      </c>
      <c r="K174" s="195" t="s">
        <v>1187</v>
      </c>
      <c r="L174" s="177"/>
      <c r="M174" s="239"/>
      <c r="N174" s="195" t="s">
        <v>1588</v>
      </c>
      <c r="O174" s="195">
        <v>3004236199</v>
      </c>
      <c r="P174" s="195"/>
      <c r="Q174" s="195" t="s">
        <v>1681</v>
      </c>
      <c r="R174" s="330" t="s">
        <v>1585</v>
      </c>
      <c r="S174" s="331" t="s">
        <v>1585</v>
      </c>
      <c r="T174" s="195"/>
      <c r="U174" s="221" t="s">
        <v>160</v>
      </c>
      <c r="V174" s="144" t="s">
        <v>210</v>
      </c>
    </row>
    <row r="175" spans="4:22">
      <c r="D175" s="289"/>
      <c r="E175" s="195">
        <v>8</v>
      </c>
      <c r="F175" s="195" t="s">
        <v>1567</v>
      </c>
      <c r="G175" s="195" t="s">
        <v>151</v>
      </c>
      <c r="H175" s="359" t="s">
        <v>1927</v>
      </c>
      <c r="I175" s="195" t="str">
        <f>PROPER("MARIA ROMELIA GRANDA ROLDAN")</f>
        <v>Maria Romelia Granda Roldan</v>
      </c>
      <c r="J175" s="356">
        <v>43268445</v>
      </c>
      <c r="K175" s="195" t="s">
        <v>1191</v>
      </c>
      <c r="L175" s="177"/>
      <c r="M175" s="239"/>
      <c r="N175" s="195" t="s">
        <v>1588</v>
      </c>
      <c r="O175" s="195">
        <v>3045288523</v>
      </c>
      <c r="P175" s="195"/>
      <c r="Q175" s="195" t="s">
        <v>1681</v>
      </c>
      <c r="R175" s="330" t="s">
        <v>1585</v>
      </c>
      <c r="S175" s="331" t="s">
        <v>1585</v>
      </c>
      <c r="T175" s="195"/>
      <c r="U175" s="221" t="s">
        <v>160</v>
      </c>
      <c r="V175" s="144" t="s">
        <v>210</v>
      </c>
    </row>
    <row r="176" spans="4:22">
      <c r="D176" s="289"/>
      <c r="E176" s="195">
        <v>8</v>
      </c>
      <c r="F176" s="195" t="s">
        <v>1567</v>
      </c>
      <c r="G176" s="195" t="s">
        <v>151</v>
      </c>
      <c r="H176" s="359" t="s">
        <v>1927</v>
      </c>
      <c r="I176" s="195" t="str">
        <f>PROPER("LEIDY MILENA RIOS ARBOLEDA")</f>
        <v>Leidy Milena Rios Arboleda</v>
      </c>
      <c r="J176" s="349">
        <v>1017173456</v>
      </c>
      <c r="K176" s="195" t="s">
        <v>1191</v>
      </c>
      <c r="L176" s="177"/>
      <c r="M176" s="239"/>
      <c r="N176" s="195" t="s">
        <v>1588</v>
      </c>
      <c r="O176" s="343">
        <v>3154033844</v>
      </c>
      <c r="P176" s="195"/>
      <c r="Q176" s="195" t="s">
        <v>1681</v>
      </c>
      <c r="R176" s="330" t="s">
        <v>1585</v>
      </c>
      <c r="S176" s="331" t="s">
        <v>1585</v>
      </c>
      <c r="T176" s="195"/>
      <c r="U176" s="221" t="s">
        <v>160</v>
      </c>
      <c r="V176" s="144" t="s">
        <v>210</v>
      </c>
    </row>
    <row r="177" spans="4:22">
      <c r="D177" s="289"/>
      <c r="E177" s="195">
        <v>8</v>
      </c>
      <c r="F177" s="195" t="s">
        <v>1567</v>
      </c>
      <c r="G177" s="195" t="s">
        <v>151</v>
      </c>
      <c r="H177" s="359" t="s">
        <v>1927</v>
      </c>
      <c r="I177" s="195" t="str">
        <f>PROPER("ROSBERI VIANE SUCERQUIA MONTOYA")</f>
        <v>Rosberi Viane Sucerquia Montoya</v>
      </c>
      <c r="J177" s="349">
        <v>1017190793</v>
      </c>
      <c r="K177" s="195" t="s">
        <v>1191</v>
      </c>
      <c r="L177" s="177"/>
      <c r="M177" s="239"/>
      <c r="N177" s="195" t="s">
        <v>1588</v>
      </c>
      <c r="O177" s="343">
        <v>3005942252</v>
      </c>
      <c r="P177" s="195"/>
      <c r="Q177" s="195" t="s">
        <v>1681</v>
      </c>
      <c r="R177" s="330" t="s">
        <v>1585</v>
      </c>
      <c r="S177" s="331" t="s">
        <v>1585</v>
      </c>
      <c r="T177" s="195"/>
      <c r="U177" s="221" t="s">
        <v>160</v>
      </c>
      <c r="V177" s="144" t="s">
        <v>210</v>
      </c>
    </row>
    <row r="178" spans="4:22">
      <c r="D178" s="289"/>
      <c r="E178" s="195">
        <v>8</v>
      </c>
      <c r="F178" s="195" t="s">
        <v>1567</v>
      </c>
      <c r="G178" s="195" t="s">
        <v>151</v>
      </c>
      <c r="H178" s="359" t="s">
        <v>1927</v>
      </c>
      <c r="I178" s="195" t="str">
        <f>PROPER("ISIDORO DE JESUS MANCO ZAPATA")</f>
        <v>Isidoro De Jesus Manco Zapata</v>
      </c>
      <c r="J178" s="349">
        <v>71738831</v>
      </c>
      <c r="K178" s="195" t="s">
        <v>1187</v>
      </c>
      <c r="L178" s="177"/>
      <c r="M178" s="239"/>
      <c r="N178" s="195" t="s">
        <v>1588</v>
      </c>
      <c r="O178" s="343">
        <v>3193036630</v>
      </c>
      <c r="P178" s="195"/>
      <c r="Q178" s="195" t="s">
        <v>1681</v>
      </c>
      <c r="R178" s="330" t="s">
        <v>1585</v>
      </c>
      <c r="S178" s="331" t="s">
        <v>1585</v>
      </c>
      <c r="T178" s="195"/>
      <c r="U178" s="221" t="s">
        <v>160</v>
      </c>
      <c r="V178" s="144" t="s">
        <v>210</v>
      </c>
    </row>
    <row r="179" spans="4:22">
      <c r="D179" s="824" t="s">
        <v>2290</v>
      </c>
      <c r="E179" s="755">
        <v>8</v>
      </c>
      <c r="F179" s="755" t="s">
        <v>1567</v>
      </c>
      <c r="G179" s="755" t="s">
        <v>151</v>
      </c>
      <c r="H179" s="755" t="s">
        <v>1926</v>
      </c>
      <c r="I179" s="755" t="str">
        <f>PROPER("ROSA IRENE CARMONA FLOREZ")</f>
        <v>Rosa Irene Carmona Florez</v>
      </c>
      <c r="J179" s="843">
        <v>39185947</v>
      </c>
      <c r="K179" s="755" t="s">
        <v>1191</v>
      </c>
      <c r="L179" s="765"/>
      <c r="M179" s="757"/>
      <c r="N179" s="755" t="s">
        <v>1588</v>
      </c>
      <c r="O179" s="842">
        <v>3005681910</v>
      </c>
      <c r="P179" s="755"/>
      <c r="Q179" s="755"/>
      <c r="R179" s="836" t="s">
        <v>1585</v>
      </c>
      <c r="S179" s="837" t="s">
        <v>1585</v>
      </c>
      <c r="T179" s="755"/>
      <c r="U179" s="760" t="s">
        <v>166</v>
      </c>
      <c r="V179" s="761" t="s">
        <v>210</v>
      </c>
    </row>
    <row r="180" spans="4:22">
      <c r="D180" s="289"/>
      <c r="E180" s="196">
        <v>8</v>
      </c>
      <c r="F180" s="196" t="s">
        <v>1567</v>
      </c>
      <c r="G180" s="196" t="s">
        <v>151</v>
      </c>
      <c r="H180" s="196" t="s">
        <v>1926</v>
      </c>
      <c r="I180" s="196" t="str">
        <f>PROPER("KENYER DAVID CUERO DIAZ")</f>
        <v>Kenyer David Cuero Diaz</v>
      </c>
      <c r="J180" s="350">
        <v>6747453</v>
      </c>
      <c r="K180" s="196" t="s">
        <v>1187</v>
      </c>
      <c r="L180" s="178"/>
      <c r="M180" s="283"/>
      <c r="N180" s="196" t="s">
        <v>1588</v>
      </c>
      <c r="O180" s="350">
        <v>3007202772</v>
      </c>
      <c r="P180" s="196"/>
      <c r="Q180" s="196"/>
      <c r="R180" s="838" t="s">
        <v>1585</v>
      </c>
      <c r="S180" s="839" t="s">
        <v>1585</v>
      </c>
      <c r="T180" s="196"/>
      <c r="U180" s="222" t="s">
        <v>160</v>
      </c>
      <c r="V180" s="144" t="s">
        <v>210</v>
      </c>
    </row>
    <row r="181" spans="4:22">
      <c r="D181" s="289"/>
      <c r="E181" s="196">
        <v>8</v>
      </c>
      <c r="F181" s="196" t="s">
        <v>1567</v>
      </c>
      <c r="G181" s="196" t="s">
        <v>151</v>
      </c>
      <c r="H181" s="196" t="s">
        <v>1926</v>
      </c>
      <c r="I181" s="196" t="str">
        <f>PROPER("JHON JAIRO ARRUBLA SALAZAR")</f>
        <v>Jhon Jairo Arrubla Salazar</v>
      </c>
      <c r="J181" s="350">
        <v>71688462</v>
      </c>
      <c r="K181" s="196" t="s">
        <v>1187</v>
      </c>
      <c r="L181" s="178"/>
      <c r="M181" s="283"/>
      <c r="N181" s="196" t="s">
        <v>1588</v>
      </c>
      <c r="O181" s="345">
        <v>3225419630</v>
      </c>
      <c r="P181" s="196"/>
      <c r="Q181" s="196"/>
      <c r="R181" s="334" t="s">
        <v>1585</v>
      </c>
      <c r="S181" s="335" t="s">
        <v>1585</v>
      </c>
      <c r="T181" s="196"/>
      <c r="U181" s="222" t="s">
        <v>160</v>
      </c>
      <c r="V181" s="144" t="s">
        <v>210</v>
      </c>
    </row>
    <row r="182" spans="4:22">
      <c r="D182" s="289"/>
      <c r="E182" s="196">
        <v>8</v>
      </c>
      <c r="F182" s="196" t="s">
        <v>1567</v>
      </c>
      <c r="G182" s="196" t="s">
        <v>151</v>
      </c>
      <c r="H182" s="196" t="s">
        <v>1926</v>
      </c>
      <c r="I182" s="196" t="str">
        <f>PROPER("GUILLERMO DARIO SOTO GONZALEZ")</f>
        <v>Guillermo Dario Soto Gonzalez</v>
      </c>
      <c r="J182" s="350">
        <v>71761838</v>
      </c>
      <c r="K182" s="196" t="s">
        <v>1187</v>
      </c>
      <c r="L182" s="178"/>
      <c r="M182" s="283"/>
      <c r="N182" s="196" t="s">
        <v>1588</v>
      </c>
      <c r="O182" s="345">
        <v>3022664367</v>
      </c>
      <c r="P182" s="196"/>
      <c r="Q182" s="196"/>
      <c r="R182" s="334" t="s">
        <v>1585</v>
      </c>
      <c r="S182" s="335" t="s">
        <v>1585</v>
      </c>
      <c r="T182" s="196"/>
      <c r="U182" s="222" t="s">
        <v>160</v>
      </c>
      <c r="V182" s="144" t="s">
        <v>210</v>
      </c>
    </row>
    <row r="183" spans="4:22">
      <c r="D183" s="289"/>
      <c r="E183" s="196">
        <v>8</v>
      </c>
      <c r="F183" s="196" t="s">
        <v>1567</v>
      </c>
      <c r="G183" s="196" t="s">
        <v>151</v>
      </c>
      <c r="H183" s="196" t="s">
        <v>1926</v>
      </c>
      <c r="I183" s="196" t="str">
        <f>PROPER("NOLBERTO ZAPATA")</f>
        <v>Nolberto Zapata</v>
      </c>
      <c r="J183" s="350">
        <v>78490587</v>
      </c>
      <c r="K183" s="196" t="s">
        <v>1187</v>
      </c>
      <c r="L183" s="178"/>
      <c r="M183" s="283"/>
      <c r="N183" s="196" t="s">
        <v>1588</v>
      </c>
      <c r="O183" s="345">
        <v>3006593264</v>
      </c>
      <c r="P183" s="196"/>
      <c r="Q183" s="196"/>
      <c r="R183" s="334" t="s">
        <v>1585</v>
      </c>
      <c r="S183" s="335" t="s">
        <v>1585</v>
      </c>
      <c r="T183" s="196"/>
      <c r="U183" s="222" t="s">
        <v>160</v>
      </c>
      <c r="V183" s="144" t="s">
        <v>210</v>
      </c>
    </row>
    <row r="184" spans="4:22">
      <c r="D184" s="289"/>
      <c r="E184" s="196">
        <v>8</v>
      </c>
      <c r="F184" s="196" t="s">
        <v>1567</v>
      </c>
      <c r="G184" s="196" t="s">
        <v>151</v>
      </c>
      <c r="H184" s="196" t="s">
        <v>1926</v>
      </c>
      <c r="I184" s="196" t="str">
        <f>PROPER("MARIA EUGENIA CASTAÑEDA")</f>
        <v>Maria Eugenia Castañeda</v>
      </c>
      <c r="J184" s="350">
        <v>43575638</v>
      </c>
      <c r="K184" s="196" t="s">
        <v>1191</v>
      </c>
      <c r="L184" s="178"/>
      <c r="M184" s="283"/>
      <c r="N184" s="196" t="s">
        <v>1588</v>
      </c>
      <c r="O184" s="345"/>
      <c r="P184" s="196"/>
      <c r="Q184" s="196"/>
      <c r="R184" s="334" t="s">
        <v>1585</v>
      </c>
      <c r="S184" s="335" t="s">
        <v>1585</v>
      </c>
      <c r="T184" s="196"/>
      <c r="U184" s="222" t="s">
        <v>160</v>
      </c>
      <c r="V184" s="144" t="s">
        <v>210</v>
      </c>
    </row>
    <row r="185" spans="4:22">
      <c r="D185" s="824" t="s">
        <v>2290</v>
      </c>
      <c r="E185" s="755">
        <v>8</v>
      </c>
      <c r="F185" s="755" t="s">
        <v>1567</v>
      </c>
      <c r="G185" s="755" t="s">
        <v>151</v>
      </c>
      <c r="H185" s="755" t="s">
        <v>2187</v>
      </c>
      <c r="I185" s="845" t="s">
        <v>2188</v>
      </c>
      <c r="J185" s="846">
        <v>71660732</v>
      </c>
      <c r="K185" s="755" t="s">
        <v>1187</v>
      </c>
      <c r="L185" s="765"/>
      <c r="M185" s="757"/>
      <c r="N185" s="755"/>
      <c r="O185" s="846">
        <v>3023417611</v>
      </c>
      <c r="P185" s="847" t="s">
        <v>2189</v>
      </c>
      <c r="Q185" s="755"/>
      <c r="R185" s="848"/>
      <c r="S185" s="849"/>
      <c r="T185" s="755"/>
      <c r="U185" s="760" t="s">
        <v>166</v>
      </c>
      <c r="V185" s="761" t="s">
        <v>210</v>
      </c>
    </row>
    <row r="186" spans="4:22">
      <c r="D186" s="289"/>
      <c r="E186" s="137">
        <v>8</v>
      </c>
      <c r="F186" s="137" t="s">
        <v>1567</v>
      </c>
      <c r="G186" s="137" t="s">
        <v>151</v>
      </c>
      <c r="H186" s="137" t="s">
        <v>2187</v>
      </c>
      <c r="I186" s="666" t="s">
        <v>2190</v>
      </c>
      <c r="J186" s="667">
        <v>70576518</v>
      </c>
      <c r="K186" s="137" t="s">
        <v>1187</v>
      </c>
      <c r="L186" s="179"/>
      <c r="M186" s="286"/>
      <c r="N186" s="137"/>
      <c r="O186" s="667">
        <v>3012366294</v>
      </c>
      <c r="P186" s="668" t="s">
        <v>2191</v>
      </c>
      <c r="Q186" s="137"/>
      <c r="R186" s="697"/>
      <c r="S186" s="697"/>
      <c r="T186" s="137"/>
      <c r="U186" s="223" t="s">
        <v>160</v>
      </c>
      <c r="V186" s="144" t="s">
        <v>210</v>
      </c>
    </row>
    <row r="187" spans="4:22">
      <c r="D187" s="289"/>
      <c r="E187" s="137">
        <v>8</v>
      </c>
      <c r="F187" s="137" t="s">
        <v>1567</v>
      </c>
      <c r="G187" s="137" t="s">
        <v>151</v>
      </c>
      <c r="H187" s="137" t="s">
        <v>2187</v>
      </c>
      <c r="I187" s="666" t="s">
        <v>2192</v>
      </c>
      <c r="J187" s="667">
        <v>3425365</v>
      </c>
      <c r="K187" s="137" t="s">
        <v>1187</v>
      </c>
      <c r="L187" s="179"/>
      <c r="M187" s="286"/>
      <c r="N187" s="137"/>
      <c r="O187" s="667">
        <v>3017908410</v>
      </c>
      <c r="P187" s="668" t="s">
        <v>2193</v>
      </c>
      <c r="Q187" s="137"/>
      <c r="R187" s="697"/>
      <c r="S187" s="697"/>
      <c r="T187" s="137"/>
      <c r="U187" s="223" t="s">
        <v>160</v>
      </c>
      <c r="V187" s="144" t="s">
        <v>210</v>
      </c>
    </row>
    <row r="188" spans="4:22">
      <c r="D188" s="289"/>
      <c r="E188" s="137">
        <v>8</v>
      </c>
      <c r="F188" s="137" t="s">
        <v>1567</v>
      </c>
      <c r="G188" s="137" t="s">
        <v>151</v>
      </c>
      <c r="H188" s="137" t="s">
        <v>2187</v>
      </c>
      <c r="I188" s="666" t="s">
        <v>2194</v>
      </c>
      <c r="J188" s="667">
        <v>3836827</v>
      </c>
      <c r="K188" s="137" t="s">
        <v>1187</v>
      </c>
      <c r="L188" s="179"/>
      <c r="M188" s="286"/>
      <c r="N188" s="137"/>
      <c r="O188" s="667">
        <v>3136023494</v>
      </c>
      <c r="P188" s="668" t="s">
        <v>2195</v>
      </c>
      <c r="Q188" s="137"/>
      <c r="R188" s="697"/>
      <c r="S188" s="697"/>
      <c r="T188" s="137"/>
      <c r="U188" s="223" t="s">
        <v>160</v>
      </c>
      <c r="V188" s="144" t="s">
        <v>210</v>
      </c>
    </row>
    <row r="189" spans="4:22">
      <c r="D189" s="289"/>
      <c r="E189" s="137">
        <v>8</v>
      </c>
      <c r="F189" s="137" t="s">
        <v>1567</v>
      </c>
      <c r="G189" s="137" t="s">
        <v>151</v>
      </c>
      <c r="H189" s="137" t="s">
        <v>2187</v>
      </c>
      <c r="I189" s="666" t="s">
        <v>2196</v>
      </c>
      <c r="J189" s="667">
        <v>43674169</v>
      </c>
      <c r="K189" s="137" t="s">
        <v>1191</v>
      </c>
      <c r="L189" s="179"/>
      <c r="M189" s="286"/>
      <c r="N189" s="137"/>
      <c r="O189" s="667">
        <v>3108379207</v>
      </c>
      <c r="P189" s="668" t="s">
        <v>2197</v>
      </c>
      <c r="Q189" s="137"/>
      <c r="R189" s="697"/>
      <c r="S189" s="697"/>
      <c r="T189" s="137"/>
      <c r="U189" s="223" t="s">
        <v>160</v>
      </c>
      <c r="V189" s="144" t="s">
        <v>210</v>
      </c>
    </row>
    <row r="190" spans="4:22">
      <c r="D190" s="289"/>
      <c r="E190" s="137">
        <v>8</v>
      </c>
      <c r="F190" s="137" t="s">
        <v>1567</v>
      </c>
      <c r="G190" s="137" t="s">
        <v>151</v>
      </c>
      <c r="H190" s="137" t="s">
        <v>2187</v>
      </c>
      <c r="I190" s="666" t="s">
        <v>2198</v>
      </c>
      <c r="J190" s="667">
        <v>43832712</v>
      </c>
      <c r="K190" s="137" t="s">
        <v>1191</v>
      </c>
      <c r="L190" s="179"/>
      <c r="M190" s="286"/>
      <c r="N190" s="137"/>
      <c r="O190" s="667">
        <v>4035459750</v>
      </c>
      <c r="P190" s="668" t="s">
        <v>2199</v>
      </c>
      <c r="Q190" s="137"/>
      <c r="R190" s="697"/>
      <c r="S190" s="697"/>
      <c r="T190" s="137"/>
      <c r="U190" s="223" t="s">
        <v>160</v>
      </c>
      <c r="V190" s="144" t="s">
        <v>210</v>
      </c>
    </row>
    <row r="191" spans="4:22">
      <c r="D191" s="824" t="s">
        <v>2290</v>
      </c>
      <c r="E191" s="755">
        <v>8</v>
      </c>
      <c r="F191" s="755" t="s">
        <v>1567</v>
      </c>
      <c r="G191" s="755" t="s">
        <v>151</v>
      </c>
      <c r="H191" s="755" t="s">
        <v>2200</v>
      </c>
      <c r="I191" s="845" t="s">
        <v>2269</v>
      </c>
      <c r="J191" s="846">
        <v>39384513</v>
      </c>
      <c r="K191" s="755" t="s">
        <v>1191</v>
      </c>
      <c r="L191" s="765"/>
      <c r="M191" s="757"/>
      <c r="N191" s="755"/>
      <c r="O191" s="846">
        <v>3016299448</v>
      </c>
      <c r="P191" s="845"/>
      <c r="Q191" s="755"/>
      <c r="R191" s="850"/>
      <c r="S191" s="850"/>
      <c r="T191" s="755"/>
      <c r="U191" s="760" t="s">
        <v>166</v>
      </c>
      <c r="V191" s="761" t="s">
        <v>210</v>
      </c>
    </row>
    <row r="192" spans="4:22">
      <c r="D192" s="289"/>
      <c r="E192" s="200">
        <v>8</v>
      </c>
      <c r="F192" s="200" t="s">
        <v>1567</v>
      </c>
      <c r="G192" s="200" t="s">
        <v>151</v>
      </c>
      <c r="H192" s="200" t="s">
        <v>2200</v>
      </c>
      <c r="I192" s="670" t="s">
        <v>2201</v>
      </c>
      <c r="J192" s="671">
        <v>1003399449</v>
      </c>
      <c r="K192" s="200" t="s">
        <v>1191</v>
      </c>
      <c r="L192" s="191"/>
      <c r="M192" s="238"/>
      <c r="N192" s="200"/>
      <c r="O192" s="671">
        <v>3155380972</v>
      </c>
      <c r="P192" s="670"/>
      <c r="Q192" s="200"/>
      <c r="R192" s="698"/>
      <c r="S192" s="698"/>
      <c r="T192" s="200"/>
      <c r="U192" s="224" t="s">
        <v>160</v>
      </c>
      <c r="V192" s="144" t="s">
        <v>210</v>
      </c>
    </row>
    <row r="193" spans="4:22">
      <c r="D193" s="289"/>
      <c r="E193" s="200">
        <v>8</v>
      </c>
      <c r="F193" s="200" t="s">
        <v>1567</v>
      </c>
      <c r="G193" s="200" t="s">
        <v>151</v>
      </c>
      <c r="H193" s="200" t="s">
        <v>2200</v>
      </c>
      <c r="I193" s="670" t="s">
        <v>2202</v>
      </c>
      <c r="J193" s="671">
        <v>21691961</v>
      </c>
      <c r="K193" s="200" t="s">
        <v>1191</v>
      </c>
      <c r="L193" s="191"/>
      <c r="M193" s="238"/>
      <c r="N193" s="200"/>
      <c r="O193" s="671">
        <v>3058556551</v>
      </c>
      <c r="P193" s="670"/>
      <c r="Q193" s="200"/>
      <c r="R193" s="698"/>
      <c r="S193" s="698"/>
      <c r="T193" s="200"/>
      <c r="U193" s="224" t="s">
        <v>160</v>
      </c>
      <c r="V193" s="144" t="s">
        <v>210</v>
      </c>
    </row>
    <row r="194" spans="4:22">
      <c r="D194" s="289"/>
      <c r="E194" s="200">
        <v>8</v>
      </c>
      <c r="F194" s="200" t="s">
        <v>1567</v>
      </c>
      <c r="G194" s="200" t="s">
        <v>151</v>
      </c>
      <c r="H194" s="200" t="s">
        <v>2200</v>
      </c>
      <c r="I194" s="670" t="s">
        <v>2272</v>
      </c>
      <c r="J194" s="671">
        <v>21893830</v>
      </c>
      <c r="K194" s="200" t="s">
        <v>1191</v>
      </c>
      <c r="L194" s="191"/>
      <c r="M194" s="238"/>
      <c r="N194" s="200"/>
      <c r="O194" s="671">
        <v>3004437537</v>
      </c>
      <c r="P194" s="670"/>
      <c r="Q194" s="200"/>
      <c r="R194" s="698"/>
      <c r="S194" s="698"/>
      <c r="T194" s="200"/>
      <c r="U194" s="224" t="s">
        <v>160</v>
      </c>
      <c r="V194" s="144" t="s">
        <v>210</v>
      </c>
    </row>
    <row r="195" spans="4:22">
      <c r="D195" s="289"/>
      <c r="E195" s="200">
        <v>8</v>
      </c>
      <c r="F195" s="200" t="s">
        <v>1567</v>
      </c>
      <c r="G195" s="200" t="s">
        <v>151</v>
      </c>
      <c r="H195" s="200" t="s">
        <v>2200</v>
      </c>
      <c r="I195" s="670" t="s">
        <v>2203</v>
      </c>
      <c r="J195" s="671">
        <v>1000352902</v>
      </c>
      <c r="K195" s="200" t="s">
        <v>1191</v>
      </c>
      <c r="L195" s="191"/>
      <c r="M195" s="238"/>
      <c r="N195" s="200"/>
      <c r="O195" s="671">
        <v>3203806696</v>
      </c>
      <c r="P195" s="670"/>
      <c r="Q195" s="200"/>
      <c r="R195" s="698"/>
      <c r="S195" s="698"/>
      <c r="T195" s="200"/>
      <c r="U195" s="224" t="s">
        <v>160</v>
      </c>
      <c r="V195" s="144" t="s">
        <v>210</v>
      </c>
    </row>
    <row r="196" spans="4:22">
      <c r="D196" s="289"/>
      <c r="E196" s="200">
        <v>8</v>
      </c>
      <c r="F196" s="200" t="s">
        <v>1567</v>
      </c>
      <c r="G196" s="200" t="s">
        <v>151</v>
      </c>
      <c r="H196" s="200" t="s">
        <v>2200</v>
      </c>
      <c r="I196" s="670" t="s">
        <v>2270</v>
      </c>
      <c r="J196" s="671">
        <v>1050945573</v>
      </c>
      <c r="K196" s="200" t="s">
        <v>1191</v>
      </c>
      <c r="L196" s="191"/>
      <c r="M196" s="238"/>
      <c r="N196" s="200"/>
      <c r="O196" s="671">
        <v>3145962583</v>
      </c>
      <c r="P196" s="670"/>
      <c r="Q196" s="200"/>
      <c r="R196" s="698"/>
      <c r="S196" s="698"/>
      <c r="T196" s="200"/>
      <c r="U196" s="224" t="s">
        <v>160</v>
      </c>
      <c r="V196" s="144" t="s">
        <v>210</v>
      </c>
    </row>
    <row r="197" spans="4:22">
      <c r="D197" s="289"/>
      <c r="E197" s="200">
        <v>8</v>
      </c>
      <c r="F197" s="200" t="s">
        <v>1567</v>
      </c>
      <c r="G197" s="200" t="s">
        <v>151</v>
      </c>
      <c r="H197" s="200" t="s">
        <v>2200</v>
      </c>
      <c r="I197" s="670" t="s">
        <v>2271</v>
      </c>
      <c r="J197" s="671">
        <v>43489779</v>
      </c>
      <c r="K197" s="200" t="s">
        <v>1191</v>
      </c>
      <c r="L197" s="191"/>
      <c r="M197" s="238"/>
      <c r="N197" s="200"/>
      <c r="O197" s="671">
        <v>3136731346</v>
      </c>
      <c r="P197" s="670"/>
      <c r="Q197" s="200"/>
      <c r="R197" s="698"/>
      <c r="S197" s="698"/>
      <c r="T197" s="200"/>
      <c r="U197" s="224" t="s">
        <v>160</v>
      </c>
      <c r="V197" s="144" t="s">
        <v>210</v>
      </c>
    </row>
    <row r="198" spans="4:22">
      <c r="D198" s="824" t="s">
        <v>2290</v>
      </c>
      <c r="E198" s="755">
        <v>8</v>
      </c>
      <c r="F198" s="755" t="s">
        <v>1567</v>
      </c>
      <c r="G198" s="755" t="s">
        <v>151</v>
      </c>
      <c r="H198" s="755" t="s">
        <v>2204</v>
      </c>
      <c r="I198" s="845" t="s">
        <v>2205</v>
      </c>
      <c r="J198" s="846">
        <v>43735908</v>
      </c>
      <c r="K198" s="755" t="s">
        <v>1191</v>
      </c>
      <c r="L198" s="765"/>
      <c r="M198" s="757"/>
      <c r="N198" s="755"/>
      <c r="O198" s="846">
        <v>3045518985</v>
      </c>
      <c r="P198" s="851"/>
      <c r="Q198" s="755"/>
      <c r="R198" s="850"/>
      <c r="S198" s="850"/>
      <c r="T198" s="755"/>
      <c r="U198" s="760" t="s">
        <v>166</v>
      </c>
      <c r="V198" s="761" t="s">
        <v>210</v>
      </c>
    </row>
    <row r="199" spans="4:22">
      <c r="D199" s="289"/>
      <c r="E199" s="195">
        <v>8</v>
      </c>
      <c r="F199" s="195" t="s">
        <v>1567</v>
      </c>
      <c r="G199" s="195" t="s">
        <v>151</v>
      </c>
      <c r="H199" s="195" t="s">
        <v>2204</v>
      </c>
      <c r="I199" s="673" t="s">
        <v>2206</v>
      </c>
      <c r="J199" s="674">
        <v>43636190</v>
      </c>
      <c r="K199" s="195" t="s">
        <v>1191</v>
      </c>
      <c r="L199" s="177"/>
      <c r="M199" s="239"/>
      <c r="N199" s="195"/>
      <c r="O199" s="674">
        <v>3136547053</v>
      </c>
      <c r="P199" s="675"/>
      <c r="Q199" s="195"/>
      <c r="R199" s="699"/>
      <c r="S199" s="699"/>
      <c r="T199" s="195"/>
      <c r="U199" s="221" t="s">
        <v>160</v>
      </c>
      <c r="V199" s="144" t="s">
        <v>210</v>
      </c>
    </row>
    <row r="200" spans="4:22">
      <c r="D200" s="289"/>
      <c r="E200" s="195">
        <v>8</v>
      </c>
      <c r="F200" s="195" t="s">
        <v>1567</v>
      </c>
      <c r="G200" s="195" t="s">
        <v>151</v>
      </c>
      <c r="H200" s="195" t="s">
        <v>2204</v>
      </c>
      <c r="I200" s="673" t="s">
        <v>2207</v>
      </c>
      <c r="J200" s="674">
        <v>1077475963</v>
      </c>
      <c r="K200" s="195" t="s">
        <v>1191</v>
      </c>
      <c r="L200" s="177"/>
      <c r="M200" s="239"/>
      <c r="N200" s="195"/>
      <c r="O200" s="674">
        <v>3217697625</v>
      </c>
      <c r="P200" s="675"/>
      <c r="Q200" s="195"/>
      <c r="R200" s="699"/>
      <c r="S200" s="699"/>
      <c r="T200" s="195"/>
      <c r="U200" s="221" t="s">
        <v>160</v>
      </c>
      <c r="V200" s="144" t="s">
        <v>210</v>
      </c>
    </row>
    <row r="201" spans="4:22">
      <c r="D201" s="289"/>
      <c r="E201" s="195">
        <v>8</v>
      </c>
      <c r="F201" s="195" t="s">
        <v>1567</v>
      </c>
      <c r="G201" s="195" t="s">
        <v>151</v>
      </c>
      <c r="H201" s="195" t="s">
        <v>2204</v>
      </c>
      <c r="I201" s="673" t="s">
        <v>2208</v>
      </c>
      <c r="J201" s="674">
        <v>1077465965</v>
      </c>
      <c r="K201" s="195" t="s">
        <v>1191</v>
      </c>
      <c r="L201" s="177"/>
      <c r="M201" s="239"/>
      <c r="N201" s="195"/>
      <c r="O201" s="674">
        <v>3133888563</v>
      </c>
      <c r="P201" s="675"/>
      <c r="Q201" s="195"/>
      <c r="R201" s="699"/>
      <c r="S201" s="699"/>
      <c r="T201" s="195"/>
      <c r="U201" s="221" t="s">
        <v>160</v>
      </c>
      <c r="V201" s="144" t="s">
        <v>210</v>
      </c>
    </row>
    <row r="202" spans="4:22">
      <c r="D202" s="289"/>
      <c r="E202" s="195">
        <v>8</v>
      </c>
      <c r="F202" s="195" t="s">
        <v>1567</v>
      </c>
      <c r="G202" s="195" t="s">
        <v>151</v>
      </c>
      <c r="H202" s="195" t="s">
        <v>2204</v>
      </c>
      <c r="I202" s="673" t="s">
        <v>2209</v>
      </c>
      <c r="J202" s="674">
        <v>43510657</v>
      </c>
      <c r="K202" s="195" t="s">
        <v>1191</v>
      </c>
      <c r="L202" s="177"/>
      <c r="M202" s="239"/>
      <c r="N202" s="195"/>
      <c r="O202" s="674">
        <v>3113745970</v>
      </c>
      <c r="P202" s="675"/>
      <c r="Q202" s="195"/>
      <c r="R202" s="699"/>
      <c r="S202" s="699"/>
      <c r="T202" s="195"/>
      <c r="U202" s="221" t="s">
        <v>160</v>
      </c>
      <c r="V202" s="144" t="s">
        <v>210</v>
      </c>
    </row>
    <row r="203" spans="4:22">
      <c r="D203" s="289"/>
      <c r="E203" s="195">
        <v>8</v>
      </c>
      <c r="F203" s="195" t="s">
        <v>1567</v>
      </c>
      <c r="G203" s="195" t="s">
        <v>151</v>
      </c>
      <c r="H203" s="195" t="s">
        <v>2204</v>
      </c>
      <c r="I203" s="673" t="s">
        <v>2210</v>
      </c>
      <c r="J203" s="676">
        <v>43152907</v>
      </c>
      <c r="K203" s="195" t="s">
        <v>1191</v>
      </c>
      <c r="L203" s="177"/>
      <c r="M203" s="239"/>
      <c r="N203" s="195"/>
      <c r="O203" s="673"/>
      <c r="P203" s="673"/>
      <c r="Q203" s="195"/>
      <c r="R203" s="699"/>
      <c r="S203" s="699"/>
      <c r="T203" s="195"/>
      <c r="U203" s="221" t="s">
        <v>160</v>
      </c>
      <c r="V203" s="144" t="s">
        <v>210</v>
      </c>
    </row>
    <row r="204" spans="4:22">
      <c r="D204" s="824" t="s">
        <v>2290</v>
      </c>
      <c r="E204" s="755">
        <v>8</v>
      </c>
      <c r="F204" s="755" t="s">
        <v>1567</v>
      </c>
      <c r="G204" s="755" t="s">
        <v>151</v>
      </c>
      <c r="H204" s="755" t="s">
        <v>2211</v>
      </c>
      <c r="I204" s="845" t="s">
        <v>2212</v>
      </c>
      <c r="J204" s="846">
        <v>71698727</v>
      </c>
      <c r="K204" s="755" t="s">
        <v>1187</v>
      </c>
      <c r="L204" s="765"/>
      <c r="M204" s="757"/>
      <c r="N204" s="755"/>
      <c r="O204" s="846">
        <v>3113882223</v>
      </c>
      <c r="P204" s="845"/>
      <c r="Q204" s="755"/>
      <c r="R204" s="850"/>
      <c r="S204" s="850"/>
      <c r="T204" s="755"/>
      <c r="U204" s="760" t="s">
        <v>166</v>
      </c>
      <c r="V204" s="761" t="s">
        <v>210</v>
      </c>
    </row>
    <row r="205" spans="4:22">
      <c r="D205" s="289"/>
      <c r="E205" s="196">
        <v>8</v>
      </c>
      <c r="F205" s="196" t="s">
        <v>1567</v>
      </c>
      <c r="G205" s="196" t="s">
        <v>151</v>
      </c>
      <c r="H205" s="196" t="s">
        <v>2211</v>
      </c>
      <c r="I205" s="678" t="s">
        <v>2268</v>
      </c>
      <c r="J205" s="679">
        <v>43086191</v>
      </c>
      <c r="K205" s="196" t="s">
        <v>1191</v>
      </c>
      <c r="L205" s="178"/>
      <c r="M205" s="283"/>
      <c r="N205" s="196"/>
      <c r="O205" s="679">
        <v>3218001796</v>
      </c>
      <c r="P205" s="681" t="s">
        <v>2213</v>
      </c>
      <c r="Q205" s="196"/>
      <c r="R205" s="664"/>
      <c r="S205" s="664"/>
      <c r="T205" s="196"/>
      <c r="U205" s="222" t="s">
        <v>160</v>
      </c>
      <c r="V205" s="144" t="s">
        <v>210</v>
      </c>
    </row>
    <row r="206" spans="4:22">
      <c r="D206" s="289"/>
      <c r="E206" s="196">
        <v>8</v>
      </c>
      <c r="F206" s="196" t="s">
        <v>1567</v>
      </c>
      <c r="G206" s="196" t="s">
        <v>151</v>
      </c>
      <c r="H206" s="196" t="s">
        <v>2211</v>
      </c>
      <c r="I206" s="678" t="s">
        <v>2214</v>
      </c>
      <c r="J206" s="679">
        <v>1017251323</v>
      </c>
      <c r="K206" s="196" t="s">
        <v>1191</v>
      </c>
      <c r="L206" s="178"/>
      <c r="M206" s="283"/>
      <c r="N206" s="196"/>
      <c r="O206" s="679">
        <v>3225850056</v>
      </c>
      <c r="P206" s="681" t="s">
        <v>2215</v>
      </c>
      <c r="Q206" s="196"/>
      <c r="R206" s="664"/>
      <c r="S206" s="664"/>
      <c r="T206" s="196"/>
      <c r="U206" s="222" t="s">
        <v>160</v>
      </c>
      <c r="V206" s="144" t="s">
        <v>210</v>
      </c>
    </row>
    <row r="207" spans="4:22">
      <c r="D207" s="289"/>
      <c r="E207" s="196">
        <v>8</v>
      </c>
      <c r="F207" s="196" t="s">
        <v>1567</v>
      </c>
      <c r="G207" s="196" t="s">
        <v>151</v>
      </c>
      <c r="H207" s="196" t="s">
        <v>2211</v>
      </c>
      <c r="I207" s="678" t="s">
        <v>2216</v>
      </c>
      <c r="J207" s="679">
        <v>32140893</v>
      </c>
      <c r="K207" s="196" t="s">
        <v>1191</v>
      </c>
      <c r="L207" s="178"/>
      <c r="M207" s="283"/>
      <c r="N207" s="196"/>
      <c r="O207" s="679">
        <v>3117061977</v>
      </c>
      <c r="P207" s="681" t="s">
        <v>2217</v>
      </c>
      <c r="Q207" s="196"/>
      <c r="R207" s="664"/>
      <c r="S207" s="664"/>
      <c r="T207" s="196"/>
      <c r="U207" s="222" t="s">
        <v>160</v>
      </c>
      <c r="V207" s="144" t="s">
        <v>210</v>
      </c>
    </row>
    <row r="208" spans="4:22">
      <c r="D208" s="289"/>
      <c r="E208" s="196">
        <v>8</v>
      </c>
      <c r="F208" s="196" t="s">
        <v>1567</v>
      </c>
      <c r="G208" s="196" t="s">
        <v>151</v>
      </c>
      <c r="H208" s="196" t="s">
        <v>2211</v>
      </c>
      <c r="I208" s="678" t="s">
        <v>2218</v>
      </c>
      <c r="J208" s="679">
        <v>1017142217</v>
      </c>
      <c r="K208" s="196" t="s">
        <v>1187</v>
      </c>
      <c r="L208" s="178"/>
      <c r="M208" s="283"/>
      <c r="N208" s="196"/>
      <c r="O208" s="679">
        <v>3170302334</v>
      </c>
      <c r="P208" s="681" t="s">
        <v>2219</v>
      </c>
      <c r="Q208" s="196"/>
      <c r="R208" s="664"/>
      <c r="S208" s="664"/>
      <c r="T208" s="196"/>
      <c r="U208" s="222" t="s">
        <v>160</v>
      </c>
      <c r="V208" s="144" t="s">
        <v>210</v>
      </c>
    </row>
    <row r="209" spans="4:22">
      <c r="D209" s="289"/>
      <c r="E209" s="196">
        <v>8</v>
      </c>
      <c r="F209" s="196" t="s">
        <v>1567</v>
      </c>
      <c r="G209" s="196" t="s">
        <v>151</v>
      </c>
      <c r="H209" s="196" t="s">
        <v>2211</v>
      </c>
      <c r="I209" s="678" t="s">
        <v>2220</v>
      </c>
      <c r="J209" s="679">
        <v>71737362</v>
      </c>
      <c r="K209" s="196" t="s">
        <v>1187</v>
      </c>
      <c r="L209" s="178"/>
      <c r="M209" s="283"/>
      <c r="N209" s="196"/>
      <c r="O209" s="679">
        <v>3117956876</v>
      </c>
      <c r="P209" s="678"/>
      <c r="Q209" s="196"/>
      <c r="R209" s="664"/>
      <c r="S209" s="664"/>
      <c r="T209" s="196"/>
      <c r="U209" s="222" t="s">
        <v>160</v>
      </c>
      <c r="V209" s="144" t="s">
        <v>210</v>
      </c>
    </row>
    <row r="210" spans="4:22">
      <c r="D210" s="824" t="s">
        <v>2289</v>
      </c>
      <c r="E210" s="755">
        <v>8</v>
      </c>
      <c r="F210" s="755" t="s">
        <v>1567</v>
      </c>
      <c r="G210" s="755" t="s">
        <v>129</v>
      </c>
      <c r="H210" s="755" t="s">
        <v>871</v>
      </c>
      <c r="I210" s="852" t="s">
        <v>2229</v>
      </c>
      <c r="J210" s="852" t="s">
        <v>2230</v>
      </c>
      <c r="K210" s="755" t="s">
        <v>1191</v>
      </c>
      <c r="L210" s="853">
        <v>40454</v>
      </c>
      <c r="M210" s="757">
        <f t="shared" ref="M210:M233" ca="1" si="1">DATEDIF(L210,TODAY(),"Y")</f>
        <v>15</v>
      </c>
      <c r="N210" s="755"/>
      <c r="O210" s="854" t="s">
        <v>2231</v>
      </c>
      <c r="P210" s="855" t="s">
        <v>2232</v>
      </c>
      <c r="Q210" s="755" t="s">
        <v>871</v>
      </c>
      <c r="R210" s="850" t="s">
        <v>192</v>
      </c>
      <c r="S210" s="850" t="s">
        <v>193</v>
      </c>
      <c r="T210" s="856">
        <v>45912</v>
      </c>
      <c r="U210" s="760" t="s">
        <v>166</v>
      </c>
      <c r="V210" s="761" t="s">
        <v>210</v>
      </c>
    </row>
    <row r="211" spans="4:22">
      <c r="D211" s="289"/>
      <c r="E211" s="137">
        <v>8</v>
      </c>
      <c r="F211" s="137" t="s">
        <v>1567</v>
      </c>
      <c r="G211" s="137" t="s">
        <v>129</v>
      </c>
      <c r="H211" s="137" t="s">
        <v>871</v>
      </c>
      <c r="I211" s="682" t="s">
        <v>2221</v>
      </c>
      <c r="J211" s="683">
        <v>39408832</v>
      </c>
      <c r="K211" s="137" t="s">
        <v>1191</v>
      </c>
      <c r="L211" s="684">
        <v>25188</v>
      </c>
      <c r="M211" s="286">
        <f t="shared" ca="1" si="1"/>
        <v>57</v>
      </c>
      <c r="N211" s="137"/>
      <c r="O211" s="665">
        <v>3118890343</v>
      </c>
      <c r="P211" s="665" t="s">
        <v>2222</v>
      </c>
      <c r="Q211" s="137" t="s">
        <v>871</v>
      </c>
      <c r="R211" s="697" t="s">
        <v>164</v>
      </c>
      <c r="S211" s="697" t="s">
        <v>230</v>
      </c>
      <c r="T211" s="685">
        <v>45912</v>
      </c>
      <c r="U211" s="223" t="s">
        <v>160</v>
      </c>
      <c r="V211" s="144" t="s">
        <v>210</v>
      </c>
    </row>
    <row r="212" spans="4:22">
      <c r="D212" s="289"/>
      <c r="E212" s="137">
        <v>8</v>
      </c>
      <c r="F212" s="137" t="s">
        <v>1567</v>
      </c>
      <c r="G212" s="137" t="s">
        <v>129</v>
      </c>
      <c r="H212" s="137" t="s">
        <v>871</v>
      </c>
      <c r="I212" s="683" t="s">
        <v>2223</v>
      </c>
      <c r="J212" s="683">
        <v>50924085</v>
      </c>
      <c r="K212" s="137" t="s">
        <v>1191</v>
      </c>
      <c r="L212" s="685">
        <v>35439</v>
      </c>
      <c r="M212" s="286">
        <f t="shared" ca="1" si="1"/>
        <v>29</v>
      </c>
      <c r="N212" s="137"/>
      <c r="O212" s="665">
        <v>3125069303</v>
      </c>
      <c r="P212" s="665" t="s">
        <v>2224</v>
      </c>
      <c r="Q212" s="137" t="s">
        <v>871</v>
      </c>
      <c r="R212" s="697" t="s">
        <v>1585</v>
      </c>
      <c r="S212" s="697" t="s">
        <v>663</v>
      </c>
      <c r="T212" s="685">
        <v>45912</v>
      </c>
      <c r="U212" s="223" t="s">
        <v>160</v>
      </c>
      <c r="V212" s="144" t="s">
        <v>210</v>
      </c>
    </row>
    <row r="213" spans="4:22">
      <c r="D213" s="289"/>
      <c r="E213" s="137">
        <v>8</v>
      </c>
      <c r="F213" s="137" t="s">
        <v>1567</v>
      </c>
      <c r="G213" s="137" t="s">
        <v>129</v>
      </c>
      <c r="H213" s="137" t="s">
        <v>871</v>
      </c>
      <c r="I213" s="683" t="s">
        <v>2225</v>
      </c>
      <c r="J213" s="683">
        <v>43508438</v>
      </c>
      <c r="K213" s="137" t="s">
        <v>1191</v>
      </c>
      <c r="L213" s="685">
        <v>24166</v>
      </c>
      <c r="M213" s="286">
        <f t="shared" ca="1" si="1"/>
        <v>60</v>
      </c>
      <c r="N213" s="137"/>
      <c r="O213" s="665">
        <v>3122912522</v>
      </c>
      <c r="P213" s="665" t="s">
        <v>2226</v>
      </c>
      <c r="Q213" s="137" t="s">
        <v>871</v>
      </c>
      <c r="R213" s="697" t="s">
        <v>1585</v>
      </c>
      <c r="S213" s="697" t="s">
        <v>663</v>
      </c>
      <c r="T213" s="685">
        <v>45912</v>
      </c>
      <c r="U213" s="223" t="s">
        <v>160</v>
      </c>
      <c r="V213" s="144" t="s">
        <v>210</v>
      </c>
    </row>
    <row r="214" spans="4:22">
      <c r="D214" s="289"/>
      <c r="E214" s="137">
        <v>8</v>
      </c>
      <c r="F214" s="137" t="s">
        <v>1567</v>
      </c>
      <c r="G214" s="137" t="s">
        <v>129</v>
      </c>
      <c r="H214" s="137" t="s">
        <v>871</v>
      </c>
      <c r="I214" s="683" t="s">
        <v>2227</v>
      </c>
      <c r="J214" s="683">
        <v>71627581</v>
      </c>
      <c r="K214" s="137" t="s">
        <v>1187</v>
      </c>
      <c r="L214" s="685">
        <v>23038</v>
      </c>
      <c r="M214" s="286">
        <f t="shared" ca="1" si="1"/>
        <v>63</v>
      </c>
      <c r="N214" s="137"/>
      <c r="O214" s="665">
        <v>3186901651</v>
      </c>
      <c r="P214" s="665" t="s">
        <v>2228</v>
      </c>
      <c r="Q214" s="137" t="s">
        <v>871</v>
      </c>
      <c r="R214" s="697" t="s">
        <v>1585</v>
      </c>
      <c r="S214" s="697" t="s">
        <v>193</v>
      </c>
      <c r="T214" s="685">
        <v>45912</v>
      </c>
      <c r="U214" s="223" t="s">
        <v>160</v>
      </c>
      <c r="V214" s="144" t="s">
        <v>210</v>
      </c>
    </row>
    <row r="215" spans="4:22">
      <c r="D215" s="289"/>
      <c r="E215" s="137">
        <v>8</v>
      </c>
      <c r="F215" s="137" t="s">
        <v>1567</v>
      </c>
      <c r="G215" s="137" t="s">
        <v>129</v>
      </c>
      <c r="H215" s="137" t="s">
        <v>871</v>
      </c>
      <c r="I215" s="683" t="s">
        <v>2233</v>
      </c>
      <c r="J215" s="683">
        <v>43581890</v>
      </c>
      <c r="K215" s="137" t="s">
        <v>1191</v>
      </c>
      <c r="L215" s="684">
        <v>26594</v>
      </c>
      <c r="M215" s="286">
        <f t="shared" ca="1" si="1"/>
        <v>53</v>
      </c>
      <c r="N215" s="137"/>
      <c r="O215" s="665">
        <v>3135738110</v>
      </c>
      <c r="P215" s="686" t="s">
        <v>2234</v>
      </c>
      <c r="Q215" s="137" t="s">
        <v>871</v>
      </c>
      <c r="R215" s="697" t="s">
        <v>321</v>
      </c>
      <c r="S215" s="697" t="s">
        <v>663</v>
      </c>
      <c r="T215" s="685">
        <v>45912</v>
      </c>
      <c r="U215" s="223" t="s">
        <v>160</v>
      </c>
      <c r="V215" s="144" t="s">
        <v>210</v>
      </c>
    </row>
    <row r="216" spans="4:22">
      <c r="D216" s="824" t="s">
        <v>2290</v>
      </c>
      <c r="E216" s="755">
        <v>8</v>
      </c>
      <c r="F216" s="755" t="s">
        <v>1567</v>
      </c>
      <c r="G216" s="755" t="s">
        <v>151</v>
      </c>
      <c r="H216" s="755" t="s">
        <v>2267</v>
      </c>
      <c r="I216" s="852" t="s">
        <v>2244</v>
      </c>
      <c r="J216" s="852">
        <v>71618724</v>
      </c>
      <c r="K216" s="755" t="s">
        <v>1187</v>
      </c>
      <c r="L216" s="856">
        <v>22847</v>
      </c>
      <c r="M216" s="757">
        <f t="shared" ca="1" si="1"/>
        <v>63</v>
      </c>
      <c r="N216" s="755"/>
      <c r="O216" s="855">
        <v>3108992425</v>
      </c>
      <c r="P216" s="855" t="s">
        <v>2245</v>
      </c>
      <c r="Q216" s="755" t="s">
        <v>807</v>
      </c>
      <c r="R216" s="857" t="s">
        <v>876</v>
      </c>
      <c r="S216" s="850" t="s">
        <v>663</v>
      </c>
      <c r="T216" s="856">
        <v>45899</v>
      </c>
      <c r="U216" s="760" t="s">
        <v>166</v>
      </c>
      <c r="V216" s="761" t="s">
        <v>210</v>
      </c>
    </row>
    <row r="217" spans="4:22">
      <c r="D217" s="289"/>
      <c r="E217" s="200">
        <v>8</v>
      </c>
      <c r="F217" s="200" t="s">
        <v>1567</v>
      </c>
      <c r="G217" s="200" t="s">
        <v>151</v>
      </c>
      <c r="H217" s="200" t="s">
        <v>2267</v>
      </c>
      <c r="I217" s="687" t="s">
        <v>2235</v>
      </c>
      <c r="J217" s="687">
        <v>32508410</v>
      </c>
      <c r="K217" s="200" t="s">
        <v>1191</v>
      </c>
      <c r="L217" s="688">
        <v>20308</v>
      </c>
      <c r="M217" s="238">
        <f t="shared" ca="1" si="1"/>
        <v>70</v>
      </c>
      <c r="N217" s="200"/>
      <c r="O217" s="669">
        <v>3012205592</v>
      </c>
      <c r="P217" s="669" t="s">
        <v>2236</v>
      </c>
      <c r="Q217" s="200" t="s">
        <v>807</v>
      </c>
      <c r="R217" s="701"/>
      <c r="S217" s="698" t="s">
        <v>193</v>
      </c>
      <c r="T217" s="688">
        <v>45899</v>
      </c>
      <c r="U217" s="224" t="s">
        <v>160</v>
      </c>
      <c r="V217" s="144" t="s">
        <v>210</v>
      </c>
    </row>
    <row r="218" spans="4:22">
      <c r="D218" s="289"/>
      <c r="E218" s="200">
        <v>8</v>
      </c>
      <c r="F218" s="200" t="s">
        <v>1567</v>
      </c>
      <c r="G218" s="200" t="s">
        <v>151</v>
      </c>
      <c r="H218" s="200" t="s">
        <v>2267</v>
      </c>
      <c r="I218" s="687" t="s">
        <v>2237</v>
      </c>
      <c r="J218" s="687">
        <v>21387419</v>
      </c>
      <c r="K218" s="200" t="s">
        <v>1191</v>
      </c>
      <c r="L218" s="688">
        <v>20539</v>
      </c>
      <c r="M218" s="238">
        <f t="shared" ca="1" si="1"/>
        <v>70</v>
      </c>
      <c r="N218" s="200"/>
      <c r="O218" s="669">
        <v>3104112363</v>
      </c>
      <c r="P218" s="669" t="s">
        <v>2238</v>
      </c>
      <c r="Q218" s="200" t="s">
        <v>807</v>
      </c>
      <c r="R218" s="698" t="s">
        <v>891</v>
      </c>
      <c r="S218" s="698" t="s">
        <v>230</v>
      </c>
      <c r="T218" s="688">
        <v>45899</v>
      </c>
      <c r="U218" s="224" t="s">
        <v>160</v>
      </c>
      <c r="V218" s="144" t="s">
        <v>210</v>
      </c>
    </row>
    <row r="219" spans="4:22" ht="15.6">
      <c r="D219" s="289"/>
      <c r="E219" s="200">
        <v>8</v>
      </c>
      <c r="F219" s="200" t="s">
        <v>1567</v>
      </c>
      <c r="G219" s="200" t="s">
        <v>151</v>
      </c>
      <c r="H219" s="200" t="s">
        <v>2267</v>
      </c>
      <c r="I219" s="687" t="s">
        <v>2239</v>
      </c>
      <c r="J219" s="687">
        <v>43550572</v>
      </c>
      <c r="K219" s="200" t="s">
        <v>1191</v>
      </c>
      <c r="L219" s="688">
        <v>24184</v>
      </c>
      <c r="M219" s="238">
        <f t="shared" ca="1" si="1"/>
        <v>60</v>
      </c>
      <c r="N219" s="200"/>
      <c r="O219" s="669">
        <v>3024339763</v>
      </c>
      <c r="P219" s="689" t="s">
        <v>2240</v>
      </c>
      <c r="Q219" s="200" t="s">
        <v>807</v>
      </c>
      <c r="R219" s="698" t="s">
        <v>891</v>
      </c>
      <c r="S219" s="698" t="s">
        <v>663</v>
      </c>
      <c r="T219" s="688">
        <v>45899</v>
      </c>
      <c r="U219" s="224" t="s">
        <v>160</v>
      </c>
      <c r="V219" s="144" t="s">
        <v>210</v>
      </c>
    </row>
    <row r="220" spans="4:22">
      <c r="D220" s="289"/>
      <c r="E220" s="200">
        <v>8</v>
      </c>
      <c r="F220" s="200" t="s">
        <v>1567</v>
      </c>
      <c r="G220" s="200" t="s">
        <v>151</v>
      </c>
      <c r="H220" s="200" t="s">
        <v>2267</v>
      </c>
      <c r="I220" s="687" t="s">
        <v>2241</v>
      </c>
      <c r="J220" s="687">
        <v>42759770</v>
      </c>
      <c r="K220" s="200" t="s">
        <v>1191</v>
      </c>
      <c r="L220" s="688">
        <v>23107</v>
      </c>
      <c r="M220" s="238">
        <f t="shared" ca="1" si="1"/>
        <v>63</v>
      </c>
      <c r="N220" s="200"/>
      <c r="O220" s="669">
        <v>3192068843</v>
      </c>
      <c r="P220" s="669" t="s">
        <v>2226</v>
      </c>
      <c r="Q220" s="200" t="s">
        <v>807</v>
      </c>
      <c r="R220" s="698"/>
      <c r="S220" s="698" t="s">
        <v>193</v>
      </c>
      <c r="T220" s="688">
        <v>45899</v>
      </c>
      <c r="U220" s="224" t="s">
        <v>160</v>
      </c>
      <c r="V220" s="144" t="s">
        <v>210</v>
      </c>
    </row>
    <row r="221" spans="4:22">
      <c r="D221" s="289"/>
      <c r="E221" s="200">
        <v>8</v>
      </c>
      <c r="F221" s="200" t="s">
        <v>1567</v>
      </c>
      <c r="G221" s="200" t="s">
        <v>151</v>
      </c>
      <c r="H221" s="200" t="s">
        <v>2267</v>
      </c>
      <c r="I221" s="687" t="s">
        <v>2242</v>
      </c>
      <c r="J221" s="687">
        <v>42748594</v>
      </c>
      <c r="K221" s="200" t="s">
        <v>1191</v>
      </c>
      <c r="L221" s="688">
        <v>21376</v>
      </c>
      <c r="M221" s="238">
        <f t="shared" ca="1" si="1"/>
        <v>67</v>
      </c>
      <c r="N221" s="200"/>
      <c r="O221" s="669">
        <v>3128627657</v>
      </c>
      <c r="P221" s="669" t="s">
        <v>2243</v>
      </c>
      <c r="Q221" s="200" t="s">
        <v>807</v>
      </c>
      <c r="R221" s="698" t="s">
        <v>1585</v>
      </c>
      <c r="S221" s="698" t="s">
        <v>663</v>
      </c>
      <c r="T221" s="688">
        <v>45899</v>
      </c>
      <c r="U221" s="224" t="s">
        <v>160</v>
      </c>
      <c r="V221" s="144" t="s">
        <v>210</v>
      </c>
    </row>
    <row r="222" spans="4:22">
      <c r="D222" s="824" t="s">
        <v>2290</v>
      </c>
      <c r="E222" s="755">
        <v>8</v>
      </c>
      <c r="F222" s="755" t="s">
        <v>1567</v>
      </c>
      <c r="G222" s="755" t="s">
        <v>151</v>
      </c>
      <c r="H222" s="755" t="s">
        <v>1682</v>
      </c>
      <c r="I222" s="852" t="s">
        <v>2246</v>
      </c>
      <c r="J222" s="852">
        <v>70106084</v>
      </c>
      <c r="K222" s="755" t="s">
        <v>1187</v>
      </c>
      <c r="L222" s="855"/>
      <c r="M222" s="757"/>
      <c r="N222" s="755"/>
      <c r="O222" s="855">
        <v>3134787464</v>
      </c>
      <c r="P222" s="855" t="s">
        <v>2226</v>
      </c>
      <c r="Q222" s="755" t="s">
        <v>1682</v>
      </c>
      <c r="R222" s="850"/>
      <c r="S222" s="850"/>
      <c r="T222" s="856">
        <v>45892</v>
      </c>
      <c r="U222" s="760" t="s">
        <v>166</v>
      </c>
      <c r="V222" s="761" t="s">
        <v>210</v>
      </c>
    </row>
    <row r="223" spans="4:22">
      <c r="D223" s="289"/>
      <c r="E223" s="195">
        <v>8</v>
      </c>
      <c r="F223" s="195" t="s">
        <v>1567</v>
      </c>
      <c r="G223" s="195" t="s">
        <v>151</v>
      </c>
      <c r="H223" s="195" t="s">
        <v>1682</v>
      </c>
      <c r="I223" s="690" t="s">
        <v>2247</v>
      </c>
      <c r="J223" s="690">
        <v>21384714</v>
      </c>
      <c r="K223" s="195" t="s">
        <v>1191</v>
      </c>
      <c r="L223" s="691">
        <v>20504</v>
      </c>
      <c r="M223" s="239">
        <f t="shared" ca="1" si="1"/>
        <v>70</v>
      </c>
      <c r="N223" s="195"/>
      <c r="O223" s="672">
        <v>3104073705</v>
      </c>
      <c r="P223" s="692" t="s">
        <v>2248</v>
      </c>
      <c r="Q223" s="195" t="s">
        <v>1682</v>
      </c>
      <c r="R223" s="699"/>
      <c r="S223" s="699" t="s">
        <v>461</v>
      </c>
      <c r="T223" s="691">
        <v>45892</v>
      </c>
      <c r="U223" s="221" t="s">
        <v>160</v>
      </c>
      <c r="V223" s="144" t="s">
        <v>210</v>
      </c>
    </row>
    <row r="224" spans="4:22">
      <c r="D224" s="289"/>
      <c r="E224" s="195">
        <v>8</v>
      </c>
      <c r="F224" s="195" t="s">
        <v>1567</v>
      </c>
      <c r="G224" s="195" t="s">
        <v>151</v>
      </c>
      <c r="H224" s="195" t="s">
        <v>1682</v>
      </c>
      <c r="I224" s="690" t="s">
        <v>2249</v>
      </c>
      <c r="J224" s="690">
        <v>43040976</v>
      </c>
      <c r="K224" s="195" t="s">
        <v>1191</v>
      </c>
      <c r="L224" s="691">
        <v>22770</v>
      </c>
      <c r="M224" s="239">
        <f t="shared" ca="1" si="1"/>
        <v>64</v>
      </c>
      <c r="N224" s="195"/>
      <c r="O224" s="672">
        <v>3167268070</v>
      </c>
      <c r="P224" s="672" t="s">
        <v>2250</v>
      </c>
      <c r="Q224" s="195" t="s">
        <v>1682</v>
      </c>
      <c r="R224" s="699" t="s">
        <v>891</v>
      </c>
      <c r="S224" s="699"/>
      <c r="T224" s="691">
        <v>45892</v>
      </c>
      <c r="U224" s="221" t="s">
        <v>160</v>
      </c>
      <c r="V224" s="144" t="s">
        <v>210</v>
      </c>
    </row>
    <row r="225" spans="4:22">
      <c r="D225" s="289"/>
      <c r="E225" s="195">
        <v>8</v>
      </c>
      <c r="F225" s="195" t="s">
        <v>1567</v>
      </c>
      <c r="G225" s="195" t="s">
        <v>151</v>
      </c>
      <c r="H225" s="195" t="s">
        <v>1682</v>
      </c>
      <c r="I225" s="690" t="s">
        <v>2251</v>
      </c>
      <c r="J225" s="690">
        <v>43510298</v>
      </c>
      <c r="K225" s="195" t="s">
        <v>1191</v>
      </c>
      <c r="L225" s="691">
        <v>24161</v>
      </c>
      <c r="M225" s="239">
        <f t="shared" ca="1" si="1"/>
        <v>60</v>
      </c>
      <c r="N225" s="195"/>
      <c r="O225" s="672">
        <v>3012904856</v>
      </c>
      <c r="P225" s="672" t="s">
        <v>2226</v>
      </c>
      <c r="Q225" s="195" t="s">
        <v>1682</v>
      </c>
      <c r="R225" s="699"/>
      <c r="S225" s="699"/>
      <c r="T225" s="691">
        <v>45892</v>
      </c>
      <c r="U225" s="221" t="s">
        <v>160</v>
      </c>
      <c r="V225" s="144" t="s">
        <v>210</v>
      </c>
    </row>
    <row r="226" spans="4:22">
      <c r="D226" s="289"/>
      <c r="E226" s="195">
        <v>8</v>
      </c>
      <c r="F226" s="195" t="s">
        <v>1567</v>
      </c>
      <c r="G226" s="195" t="s">
        <v>151</v>
      </c>
      <c r="H226" s="195" t="s">
        <v>1682</v>
      </c>
      <c r="I226" s="690" t="s">
        <v>2252</v>
      </c>
      <c r="J226" s="690">
        <v>43496690</v>
      </c>
      <c r="K226" s="195" t="s">
        <v>1191</v>
      </c>
      <c r="L226" s="672"/>
      <c r="M226" s="239"/>
      <c r="N226" s="195"/>
      <c r="O226" s="672">
        <v>3153751352</v>
      </c>
      <c r="P226" s="672" t="s">
        <v>2226</v>
      </c>
      <c r="Q226" s="195" t="s">
        <v>1682</v>
      </c>
      <c r="R226" s="699" t="s">
        <v>891</v>
      </c>
      <c r="S226" s="699"/>
      <c r="T226" s="691">
        <v>45892</v>
      </c>
      <c r="U226" s="221" t="s">
        <v>160</v>
      </c>
      <c r="V226" s="144" t="s">
        <v>210</v>
      </c>
    </row>
    <row r="227" spans="4:22">
      <c r="D227" s="289"/>
      <c r="E227" s="195">
        <v>8</v>
      </c>
      <c r="F227" s="195" t="s">
        <v>1567</v>
      </c>
      <c r="G227" s="195" t="s">
        <v>151</v>
      </c>
      <c r="H227" s="195" t="s">
        <v>1682</v>
      </c>
      <c r="I227" s="690" t="s">
        <v>2253</v>
      </c>
      <c r="J227" s="690">
        <v>43640545</v>
      </c>
      <c r="K227" s="195" t="s">
        <v>1191</v>
      </c>
      <c r="L227" s="691">
        <v>28655</v>
      </c>
      <c r="M227" s="239">
        <f t="shared" ca="1" si="1"/>
        <v>47</v>
      </c>
      <c r="N227" s="195"/>
      <c r="O227" s="672" t="s">
        <v>2254</v>
      </c>
      <c r="P227" s="672" t="s">
        <v>2226</v>
      </c>
      <c r="Q227" s="195" t="s">
        <v>1682</v>
      </c>
      <c r="R227" s="699"/>
      <c r="S227" s="699"/>
      <c r="T227" s="691">
        <v>45892</v>
      </c>
      <c r="U227" s="221" t="s">
        <v>160</v>
      </c>
      <c r="V227" s="144" t="s">
        <v>210</v>
      </c>
    </row>
    <row r="228" spans="4:22">
      <c r="D228" s="824" t="s">
        <v>2290</v>
      </c>
      <c r="E228" s="755">
        <v>8</v>
      </c>
      <c r="F228" s="755" t="s">
        <v>1567</v>
      </c>
      <c r="G228" s="755" t="s">
        <v>151</v>
      </c>
      <c r="H228" s="755" t="s">
        <v>813</v>
      </c>
      <c r="I228" s="852" t="s">
        <v>2259</v>
      </c>
      <c r="J228" s="855"/>
      <c r="K228" s="755" t="s">
        <v>1191</v>
      </c>
      <c r="L228" s="856">
        <v>22012</v>
      </c>
      <c r="M228" s="757">
        <f t="shared" ca="1" si="1"/>
        <v>66</v>
      </c>
      <c r="N228" s="755"/>
      <c r="O228" s="855">
        <v>3104419923</v>
      </c>
      <c r="P228" s="855" t="s">
        <v>2260</v>
      </c>
      <c r="Q228" s="755" t="s">
        <v>813</v>
      </c>
      <c r="R228" s="850" t="s">
        <v>891</v>
      </c>
      <c r="S228" s="850" t="s">
        <v>230</v>
      </c>
      <c r="T228" s="856">
        <v>45906</v>
      </c>
      <c r="U228" s="760" t="s">
        <v>166</v>
      </c>
      <c r="V228" s="761" t="s">
        <v>210</v>
      </c>
    </row>
    <row r="229" spans="4:22">
      <c r="D229" s="289"/>
      <c r="E229" s="196">
        <v>8</v>
      </c>
      <c r="F229" s="196" t="s">
        <v>1567</v>
      </c>
      <c r="G229" s="196" t="s">
        <v>151</v>
      </c>
      <c r="H229" s="196" t="s">
        <v>813</v>
      </c>
      <c r="I229" s="693" t="s">
        <v>2255</v>
      </c>
      <c r="J229" s="693">
        <v>43456194</v>
      </c>
      <c r="K229" s="196" t="s">
        <v>1191</v>
      </c>
      <c r="L229" s="694">
        <v>23913</v>
      </c>
      <c r="M229" s="283">
        <f t="shared" ca="1" si="1"/>
        <v>60</v>
      </c>
      <c r="N229" s="196"/>
      <c r="O229" s="677">
        <v>3128865038</v>
      </c>
      <c r="P229" s="677" t="s">
        <v>2256</v>
      </c>
      <c r="Q229" s="196" t="s">
        <v>813</v>
      </c>
      <c r="R229" s="664" t="s">
        <v>891</v>
      </c>
      <c r="S229" s="664"/>
      <c r="T229" s="694">
        <v>45906</v>
      </c>
      <c r="U229" s="222" t="s">
        <v>160</v>
      </c>
      <c r="V229" s="144" t="s">
        <v>210</v>
      </c>
    </row>
    <row r="230" spans="4:22">
      <c r="D230" s="289"/>
      <c r="E230" s="196">
        <v>8</v>
      </c>
      <c r="F230" s="196" t="s">
        <v>1567</v>
      </c>
      <c r="G230" s="196" t="s">
        <v>151</v>
      </c>
      <c r="H230" s="196" t="s">
        <v>813</v>
      </c>
      <c r="I230" s="693" t="s">
        <v>2257</v>
      </c>
      <c r="J230" s="693">
        <v>1017127716</v>
      </c>
      <c r="K230" s="196" t="s">
        <v>1191</v>
      </c>
      <c r="L230" s="694">
        <v>31509</v>
      </c>
      <c r="M230" s="283">
        <f t="shared" ca="1" si="1"/>
        <v>40</v>
      </c>
      <c r="N230" s="196"/>
      <c r="O230" s="677">
        <v>3005314754</v>
      </c>
      <c r="P230" s="677" t="s">
        <v>2258</v>
      </c>
      <c r="Q230" s="196" t="s">
        <v>813</v>
      </c>
      <c r="R230" s="664" t="s">
        <v>333</v>
      </c>
      <c r="S230" s="664" t="s">
        <v>663</v>
      </c>
      <c r="T230" s="694">
        <v>45906</v>
      </c>
      <c r="U230" s="222" t="s">
        <v>160</v>
      </c>
      <c r="V230" s="144" t="s">
        <v>210</v>
      </c>
    </row>
    <row r="231" spans="4:22">
      <c r="D231" s="289"/>
      <c r="E231" s="196">
        <v>8</v>
      </c>
      <c r="F231" s="196" t="s">
        <v>1567</v>
      </c>
      <c r="G231" s="196" t="s">
        <v>151</v>
      </c>
      <c r="H231" s="196" t="s">
        <v>813</v>
      </c>
      <c r="I231" s="693" t="s">
        <v>2261</v>
      </c>
      <c r="J231" s="693">
        <v>1224714633</v>
      </c>
      <c r="K231" s="196" t="s">
        <v>1191</v>
      </c>
      <c r="L231" s="694">
        <v>33823</v>
      </c>
      <c r="M231" s="283">
        <f t="shared" ca="1" si="1"/>
        <v>33</v>
      </c>
      <c r="N231" s="196"/>
      <c r="O231" s="677">
        <v>3046589465</v>
      </c>
      <c r="P231" s="677" t="s">
        <v>2262</v>
      </c>
      <c r="Q231" s="196" t="s">
        <v>813</v>
      </c>
      <c r="R231" s="664" t="s">
        <v>333</v>
      </c>
      <c r="S231" s="664" t="s">
        <v>663</v>
      </c>
      <c r="T231" s="694">
        <v>45906</v>
      </c>
      <c r="U231" s="222" t="s">
        <v>160</v>
      </c>
      <c r="V231" s="144" t="s">
        <v>210</v>
      </c>
    </row>
    <row r="232" spans="4:22">
      <c r="D232" s="289"/>
      <c r="E232" s="196">
        <v>8</v>
      </c>
      <c r="F232" s="196" t="s">
        <v>1567</v>
      </c>
      <c r="G232" s="196" t="s">
        <v>151</v>
      </c>
      <c r="H232" s="196" t="s">
        <v>813</v>
      </c>
      <c r="I232" s="693" t="s">
        <v>2263</v>
      </c>
      <c r="J232" s="693">
        <v>22000981</v>
      </c>
      <c r="K232" s="196" t="s">
        <v>1191</v>
      </c>
      <c r="L232" s="694">
        <v>23952</v>
      </c>
      <c r="M232" s="283">
        <f t="shared" ca="1" si="1"/>
        <v>60</v>
      </c>
      <c r="N232" s="196"/>
      <c r="O232" s="677">
        <v>3043560491</v>
      </c>
      <c r="P232" s="695" t="s">
        <v>2264</v>
      </c>
      <c r="Q232" s="196" t="s">
        <v>813</v>
      </c>
      <c r="R232" s="664" t="s">
        <v>891</v>
      </c>
      <c r="S232" s="664" t="s">
        <v>663</v>
      </c>
      <c r="T232" s="694">
        <v>45906</v>
      </c>
      <c r="U232" s="222" t="s">
        <v>160</v>
      </c>
      <c r="V232" s="144" t="s">
        <v>210</v>
      </c>
    </row>
    <row r="233" spans="4:22">
      <c r="D233" s="289"/>
      <c r="E233" s="196">
        <v>8</v>
      </c>
      <c r="F233" s="196" t="s">
        <v>1567</v>
      </c>
      <c r="G233" s="196" t="s">
        <v>151</v>
      </c>
      <c r="H233" s="196" t="s">
        <v>813</v>
      </c>
      <c r="I233" s="693" t="s">
        <v>2265</v>
      </c>
      <c r="J233" s="693">
        <v>42089652</v>
      </c>
      <c r="K233" s="196"/>
      <c r="L233" s="696">
        <v>21484</v>
      </c>
      <c r="M233" s="283">
        <f t="shared" ca="1" si="1"/>
        <v>67</v>
      </c>
      <c r="N233" s="196"/>
      <c r="O233" s="677" t="s">
        <v>2266</v>
      </c>
      <c r="P233" s="677" t="s">
        <v>2226</v>
      </c>
      <c r="Q233" s="196" t="s">
        <v>813</v>
      </c>
      <c r="R233" s="664"/>
      <c r="S233" s="664" t="s">
        <v>461</v>
      </c>
      <c r="T233" s="694">
        <v>45906</v>
      </c>
      <c r="U233" s="222" t="s">
        <v>160</v>
      </c>
      <c r="V233" s="144" t="s">
        <v>210</v>
      </c>
    </row>
    <row r="239" spans="4:22" ht="15" thickBot="1"/>
    <row r="240" spans="4:22" ht="15" thickBot="1">
      <c r="H240" s="144" t="str" cm="1">
        <f t="array" ref="H240:H273">_xlfn.UNIQUE(Tabla8[Nombre CCGRD])</f>
        <v>La Libertad</v>
      </c>
      <c r="I240" s="941" t="s">
        <v>807</v>
      </c>
    </row>
    <row r="241" spans="8:9" ht="15" thickBot="1">
      <c r="H241" s="144" t="str">
        <v xml:space="preserve">La Planta </v>
      </c>
      <c r="I241" s="942" t="s">
        <v>2329</v>
      </c>
    </row>
    <row r="242" spans="8:9" ht="15" thickBot="1">
      <c r="H242" s="144" t="str">
        <v xml:space="preserve">Villatina </v>
      </c>
      <c r="I242" s="942" t="s">
        <v>2330</v>
      </c>
    </row>
    <row r="243" spans="8:9" ht="15" thickBot="1">
      <c r="H243" s="144" t="str">
        <v>Enciso Praga</v>
      </c>
      <c r="I243" s="943" t="s">
        <v>813</v>
      </c>
    </row>
    <row r="244" spans="8:9" ht="15" thickBot="1">
      <c r="H244" s="144" t="str">
        <v>La Ladera</v>
      </c>
      <c r="I244" s="943" t="s">
        <v>863</v>
      </c>
    </row>
    <row r="245" spans="8:9" ht="15" thickBot="1">
      <c r="H245" s="144" t="str">
        <v>Villa Hermosa</v>
      </c>
      <c r="I245" s="943" t="s">
        <v>864</v>
      </c>
    </row>
    <row r="246" spans="8:9" ht="15" thickBot="1">
      <c r="H246" s="144" t="str">
        <v xml:space="preserve">PARROQUIA SAN FRANCISCO DE ASIS </v>
      </c>
      <c r="I246" s="943" t="s">
        <v>2331</v>
      </c>
    </row>
    <row r="247" spans="8:9" ht="15" thickBot="1">
      <c r="H247" s="144" t="str">
        <v>JAC El Pinal</v>
      </c>
      <c r="I247" s="943" t="s">
        <v>2330</v>
      </c>
    </row>
    <row r="248" spans="8:9" ht="15" thickBot="1">
      <c r="H248" s="144" t="str">
        <v>Perlas</v>
      </c>
      <c r="I248" s="943" t="s">
        <v>2332</v>
      </c>
    </row>
    <row r="249" spans="8:9" ht="15" thickBot="1">
      <c r="H249" s="144" t="str">
        <v>Quintas de la playa</v>
      </c>
      <c r="I249" s="943" t="s">
        <v>866</v>
      </c>
    </row>
    <row r="250" spans="8:9" ht="15" thickBot="1">
      <c r="H250" s="144" t="str">
        <v>Pinar del Cerro</v>
      </c>
      <c r="I250" s="943" t="s">
        <v>867</v>
      </c>
    </row>
    <row r="251" spans="8:9" ht="15" thickBot="1">
      <c r="H251" s="144" t="str">
        <v>Colinas de Enciso PA</v>
      </c>
      <c r="I251" s="943" t="s">
        <v>2333</v>
      </c>
    </row>
    <row r="252" spans="8:9" ht="15" thickBot="1">
      <c r="H252" s="144" t="str">
        <v>La Primavera</v>
      </c>
      <c r="I252" s="943" t="s">
        <v>868</v>
      </c>
    </row>
    <row r="253" spans="8:9" ht="15" thickBot="1">
      <c r="H253" s="144" t="str">
        <v>La Sierra</v>
      </c>
      <c r="I253" s="943" t="s">
        <v>2334</v>
      </c>
    </row>
    <row r="254" spans="8:9" ht="15" thickBot="1">
      <c r="H254" s="144" t="str">
        <v>Villa Turbay</v>
      </c>
      <c r="I254" s="943" t="s">
        <v>869</v>
      </c>
    </row>
    <row r="255" spans="8:9" ht="15" thickBot="1">
      <c r="H255" s="144" t="str">
        <v>Villa Liliam PA</v>
      </c>
      <c r="I255" s="943" t="s">
        <v>2335</v>
      </c>
    </row>
    <row r="256" spans="8:9" ht="15" thickBot="1">
      <c r="H256" s="940" t="str">
        <v>Villa Liliam Parte Baja</v>
      </c>
      <c r="I256" s="944" t="s">
        <v>2336</v>
      </c>
    </row>
    <row r="257" spans="4:9" ht="15" thickBot="1">
      <c r="D257" s="940"/>
      <c r="H257" s="940" t="str">
        <v>Unión de Cristo</v>
      </c>
      <c r="I257" s="942" t="s">
        <v>2337</v>
      </c>
    </row>
    <row r="258" spans="4:9" ht="15" thickBot="1">
      <c r="D258" s="940"/>
      <c r="H258" s="940" t="str">
        <v>Esfuerzos de Paz 2</v>
      </c>
      <c r="I258" s="942" t="s">
        <v>2338</v>
      </c>
    </row>
    <row r="259" spans="4:9" ht="15" thickBot="1">
      <c r="D259" s="940"/>
      <c r="H259" s="940" t="str">
        <v>Llanaditas</v>
      </c>
      <c r="I259" s="943" t="s">
        <v>2314</v>
      </c>
    </row>
    <row r="260" spans="4:9" ht="15" thickBot="1">
      <c r="D260" s="940"/>
      <c r="H260" s="940" t="str">
        <v>Los Mangos</v>
      </c>
      <c r="I260" s="943" t="s">
        <v>2339</v>
      </c>
    </row>
    <row r="261" spans="4:9" ht="15" thickBot="1">
      <c r="D261" s="940"/>
      <c r="H261" s="940" t="str">
        <v>El Faro</v>
      </c>
      <c r="I261" s="943" t="s">
        <v>871</v>
      </c>
    </row>
    <row r="262" spans="4:9">
      <c r="D262" s="940"/>
      <c r="H262" s="940" t="str">
        <v>Santa Lucia IPUC</v>
      </c>
      <c r="I262" s="948" t="s">
        <v>2340</v>
      </c>
    </row>
    <row r="263" spans="4:9" ht="15" thickBot="1">
      <c r="D263" s="940"/>
      <c r="H263" s="940" t="str">
        <v>Esfuerzos de paz 1</v>
      </c>
      <c r="I263" s="949"/>
    </row>
    <row r="264" spans="4:9" ht="15" thickBot="1">
      <c r="D264" s="940"/>
      <c r="H264" s="940" t="str">
        <v>Altos de la Torre</v>
      </c>
      <c r="I264" s="945" t="s">
        <v>872</v>
      </c>
    </row>
    <row r="265" spans="4:9" ht="15" thickBot="1">
      <c r="D265" s="940"/>
      <c r="H265" s="940" t="str">
        <v>13 de Noviembre</v>
      </c>
      <c r="I265" s="944" t="s">
        <v>873</v>
      </c>
    </row>
    <row r="266" spans="4:9" ht="15" thickBot="1">
      <c r="D266" s="940"/>
      <c r="H266" s="940" t="str">
        <v>Organización Social Mestizas</v>
      </c>
      <c r="I266" s="945" t="s">
        <v>2341</v>
      </c>
    </row>
    <row r="267" spans="4:9" ht="15" thickBot="1">
      <c r="D267" s="940"/>
      <c r="H267" s="940" t="str">
        <v>Golondrinas</v>
      </c>
      <c r="I267" s="946" t="s">
        <v>2342</v>
      </c>
    </row>
    <row r="268" spans="4:9" ht="15" thickBot="1">
      <c r="D268" s="940"/>
      <c r="H268" s="940" t="str">
        <v>Pinares de Oriente</v>
      </c>
      <c r="I268" s="944" t="s">
        <v>2343</v>
      </c>
    </row>
    <row r="269" spans="4:9" ht="15" thickBot="1">
      <c r="D269" s="940"/>
      <c r="H269" s="940" t="str">
        <v>Libertad 1</v>
      </c>
      <c r="I269" s="944" t="s">
        <v>2187</v>
      </c>
    </row>
    <row r="270" spans="4:9" ht="15" thickBot="1">
      <c r="D270" s="940"/>
      <c r="H270" s="940" t="str">
        <v>Santa Lucía</v>
      </c>
      <c r="I270" s="943" t="s">
        <v>2200</v>
      </c>
    </row>
    <row r="271" spans="4:9" ht="15" thickBot="1">
      <c r="D271" s="940"/>
      <c r="H271" s="940" t="str">
        <v>La Libertad 2</v>
      </c>
      <c r="I271" s="943" t="s">
        <v>2204</v>
      </c>
    </row>
    <row r="272" spans="4:9" ht="15" thickBot="1">
      <c r="D272" s="940"/>
      <c r="H272" s="940" t="str">
        <v>San Antonio</v>
      </c>
      <c r="I272" s="943" t="s">
        <v>2211</v>
      </c>
    </row>
    <row r="273" spans="4:9" ht="15" thickBot="1">
      <c r="D273" s="940"/>
      <c r="H273" s="940" t="str">
        <v>Villatina</v>
      </c>
      <c r="I273" s="943" t="s">
        <v>2344</v>
      </c>
    </row>
    <row r="274" spans="4:9" ht="15" thickBot="1">
      <c r="D274" s="940"/>
      <c r="H274" s="940"/>
      <c r="I274" s="943" t="s">
        <v>2345</v>
      </c>
    </row>
    <row r="275" spans="4:9" ht="15" thickBot="1">
      <c r="D275" s="940"/>
      <c r="H275" s="940"/>
      <c r="I275" s="943" t="s">
        <v>2346</v>
      </c>
    </row>
    <row r="276" spans="4:9" ht="15" thickBot="1">
      <c r="D276" s="940"/>
      <c r="H276" s="940"/>
      <c r="I276" s="943" t="s">
        <v>2347</v>
      </c>
    </row>
    <row r="277" spans="4:9" ht="15" thickBot="1">
      <c r="D277" s="940"/>
      <c r="H277" s="940"/>
      <c r="I277" s="947"/>
    </row>
    <row r="278" spans="4:9" ht="15" thickBot="1">
      <c r="D278" s="940"/>
      <c r="H278" s="940"/>
      <c r="I278" s="947"/>
    </row>
    <row r="279" spans="4:9" ht="15" thickBot="1">
      <c r="D279" s="940"/>
      <c r="H279" s="940"/>
      <c r="I279" s="947"/>
    </row>
    <row r="280" spans="4:9">
      <c r="D280" s="940"/>
      <c r="H280" s="940"/>
    </row>
    <row r="281" spans="4:9">
      <c r="D281" s="940"/>
      <c r="H281" s="940"/>
    </row>
    <row r="282" spans="4:9">
      <c r="D282" s="940"/>
      <c r="H282" s="940"/>
    </row>
    <row r="283" spans="4:9">
      <c r="D283" s="940"/>
      <c r="H283" s="940"/>
    </row>
    <row r="284" spans="4:9">
      <c r="D284" s="940"/>
      <c r="H284" s="940"/>
    </row>
    <row r="285" spans="4:9">
      <c r="D285" s="940"/>
      <c r="H285" s="940"/>
    </row>
    <row r="286" spans="4:9">
      <c r="D286" s="940"/>
      <c r="H286" s="940"/>
    </row>
    <row r="287" spans="4:9">
      <c r="D287" s="940"/>
      <c r="H287" s="940"/>
    </row>
    <row r="288" spans="4:9">
      <c r="D288" s="940"/>
      <c r="H288" s="940"/>
    </row>
    <row r="289" spans="4:8">
      <c r="D289" s="940"/>
      <c r="H289" s="940"/>
    </row>
    <row r="290" spans="4:8">
      <c r="D290" s="940"/>
      <c r="H290" s="940"/>
    </row>
    <row r="291" spans="4:8">
      <c r="D291" s="940"/>
      <c r="H291" s="940"/>
    </row>
    <row r="292" spans="4:8">
      <c r="D292" s="940"/>
      <c r="H292" s="940"/>
    </row>
    <row r="293" spans="4:8">
      <c r="D293" s="940"/>
      <c r="H293" s="940"/>
    </row>
    <row r="294" spans="4:8">
      <c r="D294" s="940"/>
    </row>
  </sheetData>
  <mergeCells count="1">
    <mergeCell ref="I262:I263"/>
  </mergeCells>
  <phoneticPr fontId="41" type="noConversion"/>
  <dataValidations count="7">
    <dataValidation type="list" allowBlank="1" showInputMessage="1" showErrorMessage="1" sqref="I3:I11 G3:G233" xr:uid="{F7A36505-05C4-4500-B436-7656058F2283}">
      <formula1>$A$1:$A$3</formula1>
    </dataValidation>
    <dataValidation type="list" allowBlank="1" showInputMessage="1" showErrorMessage="1" sqref="N3:N124 N126:N233" xr:uid="{87B6150C-D138-4BF5-BBA5-065D1B0BC9EC}">
      <formula1>$A$8:$A$17</formula1>
    </dataValidation>
    <dataValidation type="list" allowBlank="1" showInputMessage="1" showErrorMessage="1" sqref="Q3:Q124 Q136:Q233" xr:uid="{3FE33892-878D-4583-A243-48FD6B60DDB7}">
      <formula1>$A$21:$A$39</formula1>
    </dataValidation>
    <dataValidation type="list" allowBlank="1" showInputMessage="1" showErrorMessage="1" sqref="U3:U233" xr:uid="{41D6A1FE-2850-47D0-B8F8-1C0123038558}">
      <formula1>$A$18:$A$20</formula1>
    </dataValidation>
    <dataValidation type="list" allowBlank="1" showInputMessage="1" showErrorMessage="1" sqref="R3:R233" xr:uid="{EB05D7A4-1A81-488D-9187-9C8B6A717137}">
      <formula1>$B$5:$B$11</formula1>
    </dataValidation>
    <dataValidation type="list" allowBlank="1" showInputMessage="1" showErrorMessage="1" sqref="S3:S233" xr:uid="{C58DE274-7D7D-4E02-93DF-133BD4B15FCA}">
      <formula1>$B$13:$B$39</formula1>
    </dataValidation>
    <dataValidation type="list" allowBlank="1" showInputMessage="1" showErrorMessage="1" sqref="K3:K233" xr:uid="{679CA61A-1EB6-4973-9725-91598227DA5B}">
      <formula1>$A$4:$A$7</formula1>
    </dataValidation>
  </dataValidations>
  <hyperlinks>
    <hyperlink ref="P185" r:id="rId1" xr:uid="{99C161ED-3C2A-41CB-96D0-FF3D64937FD2}"/>
    <hyperlink ref="P186" r:id="rId2" xr:uid="{BC6E5AF6-D8A5-44D9-AEC1-2EBE0FEF81EA}"/>
    <hyperlink ref="P187" r:id="rId3" xr:uid="{905CC7E7-3DA6-4734-A2FC-634964493C28}"/>
    <hyperlink ref="P188" r:id="rId4" xr:uid="{97AA58C5-EDCF-4D15-A940-78B12702258C}"/>
    <hyperlink ref="P189" r:id="rId5" xr:uid="{AB2F4651-4150-40C8-94FC-D239FDD5FC20}"/>
    <hyperlink ref="P190" r:id="rId6" xr:uid="{11AC4370-9C1D-4BDD-8BD5-1A998FF75DC5}"/>
    <hyperlink ref="P205" r:id="rId7" xr:uid="{C3A06B89-0540-4736-AF6D-CBC979FDB890}"/>
    <hyperlink ref="P206" r:id="rId8" xr:uid="{482F60F2-D9FE-41B8-A664-0DCFC129E3F5}"/>
    <hyperlink ref="P207" r:id="rId9" xr:uid="{699A531C-F0FD-4ECE-BAFC-287930875499}"/>
    <hyperlink ref="P208" r:id="rId10" xr:uid="{693E3A83-E855-4685-8BE1-45F9A13459F4}"/>
    <hyperlink ref="P215" r:id="rId11" xr:uid="{286CA164-8E92-4D4F-A1BE-F41C540275ED}"/>
    <hyperlink ref="P223" r:id="rId12" xr:uid="{109B6818-EA79-4730-A6D8-5CEB75DF3B92}"/>
    <hyperlink ref="P232" r:id="rId13" xr:uid="{5F59F166-019D-454F-B85A-6F59F1D4F96F}"/>
    <hyperlink ref="P129" r:id="rId14" display="mailto:luisacarolina234@gmail.com" xr:uid="{759E0AC6-3DF8-404B-BCB0-AF6CCC831504}"/>
    <hyperlink ref="P130" r:id="rId15" display="mailto:yina97568@gmail.com" xr:uid="{C8189D72-CEF6-495F-977A-0C30E6F295F4}"/>
    <hyperlink ref="P125" r:id="rId16" display="mailto:crisrisard87@gmail.com" xr:uid="{E981E2D7-ABFB-4B8B-8AA8-2A37C8C11012}"/>
    <hyperlink ref="P132" r:id="rId17" display="mailto:crisrisard87@gmail.com" xr:uid="{8A0A3D29-FE55-4975-B309-DAA392BB8048}"/>
    <hyperlink ref="P133" r:id="rId18" display="mailto:drvr702910@gmail.com" xr:uid="{F757FAF2-3842-4BA3-8B27-AF45F22DA1FD}"/>
  </hyperlinks>
  <pageMargins left="0.7" right="0.7" top="0.75" bottom="0.75" header="0.3" footer="0.3"/>
  <pageSetup orientation="portrait" r:id="rId19"/>
  <tableParts count="1">
    <tablePart r:id="rId2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349F-3819-4D49-BD0F-A22B80298541}">
  <dimension ref="A2:V39"/>
  <sheetViews>
    <sheetView topLeftCell="J1" zoomScaleNormal="100" workbookViewId="0">
      <selection activeCell="E3" sqref="E3:V20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4" width="13.33203125" style="144" customWidth="1"/>
    <col min="5" max="5" width="11.6640625" style="144" bestFit="1" customWidth="1"/>
    <col min="6" max="6" width="19.88671875" style="144" bestFit="1" customWidth="1"/>
    <col min="7" max="7" width="18.33203125" style="144" customWidth="1"/>
    <col min="8" max="8" width="16.88671875" style="144" bestFit="1" customWidth="1"/>
    <col min="9" max="9" width="32" style="144" bestFit="1" customWidth="1"/>
    <col min="10" max="10" width="12.6640625" style="144" bestFit="1" customWidth="1"/>
    <col min="11" max="11" width="11.5546875" style="144"/>
    <col min="12" max="12" width="20.5546875" style="144" customWidth="1"/>
    <col min="13" max="13" width="11.6640625" style="144" bestFit="1" customWidth="1"/>
    <col min="14" max="14" width="15.33203125" style="144" customWidth="1"/>
    <col min="15" max="15" width="11.5546875" style="144"/>
    <col min="16" max="16" width="18.44140625" style="144" customWidth="1"/>
    <col min="17" max="17" width="14.44140625" style="144" bestFit="1" customWidth="1"/>
    <col min="18" max="18" width="11.6640625" style="144" customWidth="1"/>
    <col min="19" max="19" width="11.5546875" style="144"/>
    <col min="20" max="21" width="25.3320312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49" t="s">
        <v>1854</v>
      </c>
      <c r="G2" s="149" t="s">
        <v>1584</v>
      </c>
      <c r="H2" s="149" t="s">
        <v>418</v>
      </c>
      <c r="I2" s="149" t="s">
        <v>1410</v>
      </c>
      <c r="J2" s="149" t="s">
        <v>5</v>
      </c>
      <c r="K2" s="149" t="s">
        <v>6</v>
      </c>
      <c r="L2" s="149" t="s">
        <v>7</v>
      </c>
      <c r="M2" s="149" t="s">
        <v>8</v>
      </c>
      <c r="N2" s="149" t="s">
        <v>9</v>
      </c>
      <c r="O2" s="149" t="s">
        <v>1589</v>
      </c>
      <c r="P2" s="149" t="s">
        <v>11</v>
      </c>
      <c r="Q2" s="149" t="s">
        <v>12</v>
      </c>
      <c r="R2" s="149" t="s">
        <v>14</v>
      </c>
      <c r="S2" s="149" t="s">
        <v>16</v>
      </c>
      <c r="T2" s="149" t="s">
        <v>1590</v>
      </c>
      <c r="U2" s="297" t="s">
        <v>18</v>
      </c>
      <c r="V2" s="708" t="s">
        <v>20</v>
      </c>
    </row>
    <row r="3" spans="1:22">
      <c r="A3" s="144" t="s">
        <v>129</v>
      </c>
      <c r="D3" s="758" t="s">
        <v>2289</v>
      </c>
      <c r="E3" s="758">
        <v>9</v>
      </c>
      <c r="F3" s="758" t="s">
        <v>1284</v>
      </c>
      <c r="G3" s="758" t="s">
        <v>129</v>
      </c>
      <c r="H3" s="858" t="s">
        <v>874</v>
      </c>
      <c r="I3" s="858" t="s">
        <v>875</v>
      </c>
      <c r="J3" s="858">
        <v>3488466</v>
      </c>
      <c r="K3" s="758" t="s">
        <v>1187</v>
      </c>
      <c r="L3" s="859">
        <v>18880</v>
      </c>
      <c r="M3" s="860">
        <f ca="1">DATEDIF(L3,TODAY(),"Y")</f>
        <v>74</v>
      </c>
      <c r="N3" s="758" t="s">
        <v>56</v>
      </c>
      <c r="O3" s="861">
        <v>3117182132</v>
      </c>
      <c r="P3" s="858"/>
      <c r="Q3" s="758" t="s">
        <v>1688</v>
      </c>
      <c r="R3" s="862" t="s">
        <v>876</v>
      </c>
      <c r="S3" s="863" t="s">
        <v>663</v>
      </c>
      <c r="T3" s="858">
        <v>1996</v>
      </c>
      <c r="U3" s="864" t="s">
        <v>166</v>
      </c>
      <c r="V3" s="761" t="s">
        <v>210</v>
      </c>
    </row>
    <row r="4" spans="1:22">
      <c r="D4" s="368"/>
      <c r="E4" s="368">
        <v>9</v>
      </c>
      <c r="F4" s="368" t="s">
        <v>1284</v>
      </c>
      <c r="G4" s="368" t="s">
        <v>129</v>
      </c>
      <c r="H4" s="369" t="s">
        <v>874</v>
      </c>
      <c r="I4" s="369" t="s">
        <v>877</v>
      </c>
      <c r="J4" s="369">
        <v>71366318</v>
      </c>
      <c r="K4" s="368" t="s">
        <v>1187</v>
      </c>
      <c r="L4" s="370">
        <v>30563</v>
      </c>
      <c r="M4" s="371">
        <f ca="1">DATEDIF(L4,TODAY(),"Y")</f>
        <v>42</v>
      </c>
      <c r="N4" s="368" t="s">
        <v>56</v>
      </c>
      <c r="O4" s="372">
        <v>3127256465</v>
      </c>
      <c r="P4" s="369" t="s">
        <v>878</v>
      </c>
      <c r="Q4" s="368" t="s">
        <v>1688</v>
      </c>
      <c r="R4" s="373" t="s">
        <v>333</v>
      </c>
      <c r="S4" s="374" t="s">
        <v>663</v>
      </c>
      <c r="T4" s="369">
        <v>1996</v>
      </c>
      <c r="U4" s="375" t="s">
        <v>160</v>
      </c>
      <c r="V4" s="144" t="s">
        <v>210</v>
      </c>
    </row>
    <row r="5" spans="1:22">
      <c r="A5" s="144" t="s">
        <v>1191</v>
      </c>
      <c r="B5" s="144" t="s">
        <v>333</v>
      </c>
      <c r="D5" s="368"/>
      <c r="E5" s="368">
        <v>9</v>
      </c>
      <c r="F5" s="368" t="s">
        <v>1284</v>
      </c>
      <c r="G5" s="368" t="s">
        <v>129</v>
      </c>
      <c r="H5" s="369" t="s">
        <v>874</v>
      </c>
      <c r="I5" s="369" t="s">
        <v>879</v>
      </c>
      <c r="J5" s="369">
        <v>71316457</v>
      </c>
      <c r="K5" s="368" t="s">
        <v>1187</v>
      </c>
      <c r="L5" s="370">
        <v>29444</v>
      </c>
      <c r="M5" s="371">
        <f t="shared" ref="M5:M24" ca="1" si="0">DATEDIF(L5,TODAY(),"Y")</f>
        <v>45</v>
      </c>
      <c r="N5" s="368" t="s">
        <v>73</v>
      </c>
      <c r="O5" s="372">
        <v>3006597844</v>
      </c>
      <c r="P5" s="369" t="s">
        <v>880</v>
      </c>
      <c r="Q5" s="368" t="s">
        <v>1688</v>
      </c>
      <c r="R5" s="373" t="s">
        <v>333</v>
      </c>
      <c r="S5" s="374" t="s">
        <v>663</v>
      </c>
      <c r="T5" s="369">
        <v>1999</v>
      </c>
      <c r="U5" s="375" t="s">
        <v>160</v>
      </c>
      <c r="V5" s="144" t="s">
        <v>210</v>
      </c>
    </row>
    <row r="6" spans="1:22">
      <c r="A6" s="144" t="s">
        <v>1187</v>
      </c>
      <c r="B6" s="144" t="s">
        <v>164</v>
      </c>
      <c r="D6" s="368"/>
      <c r="E6" s="368">
        <v>9</v>
      </c>
      <c r="F6" s="368" t="s">
        <v>1284</v>
      </c>
      <c r="G6" s="368" t="s">
        <v>129</v>
      </c>
      <c r="H6" s="369" t="s">
        <v>874</v>
      </c>
      <c r="I6" s="369" t="s">
        <v>881</v>
      </c>
      <c r="J6" s="369">
        <v>8354183</v>
      </c>
      <c r="K6" s="368" t="s">
        <v>1187</v>
      </c>
      <c r="L6" s="370">
        <v>18443</v>
      </c>
      <c r="M6" s="371">
        <f t="shared" ca="1" si="0"/>
        <v>75</v>
      </c>
      <c r="N6" s="368" t="s">
        <v>56</v>
      </c>
      <c r="O6" s="372">
        <v>3007241840</v>
      </c>
      <c r="P6" s="369" t="s">
        <v>882</v>
      </c>
      <c r="Q6" s="368" t="s">
        <v>1688</v>
      </c>
      <c r="R6" s="373" t="s">
        <v>876</v>
      </c>
      <c r="S6" s="374" t="s">
        <v>1585</v>
      </c>
      <c r="T6" s="369">
        <v>2020</v>
      </c>
      <c r="U6" s="375" t="s">
        <v>160</v>
      </c>
      <c r="V6" s="144" t="s">
        <v>210</v>
      </c>
    </row>
    <row r="7" spans="1:22">
      <c r="A7" s="144" t="s">
        <v>1585</v>
      </c>
      <c r="B7" s="144" t="s">
        <v>321</v>
      </c>
      <c r="D7" s="368"/>
      <c r="E7" s="368">
        <v>9</v>
      </c>
      <c r="F7" s="368" t="s">
        <v>1284</v>
      </c>
      <c r="G7" s="368" t="s">
        <v>129</v>
      </c>
      <c r="H7" s="369" t="s">
        <v>874</v>
      </c>
      <c r="I7" s="369" t="s">
        <v>883</v>
      </c>
      <c r="J7" s="369">
        <v>10080108001</v>
      </c>
      <c r="K7" s="368" t="s">
        <v>1191</v>
      </c>
      <c r="L7" s="370"/>
      <c r="M7" s="371"/>
      <c r="N7" s="368"/>
      <c r="O7" s="372">
        <v>3005281070</v>
      </c>
      <c r="P7" s="369"/>
      <c r="Q7" s="368" t="s">
        <v>1688</v>
      </c>
      <c r="R7" s="373"/>
      <c r="S7" s="374"/>
      <c r="T7" s="369"/>
      <c r="U7" s="375" t="s">
        <v>160</v>
      </c>
      <c r="V7" s="144" t="s">
        <v>210</v>
      </c>
    </row>
    <row r="8" spans="1:22">
      <c r="B8" s="144" t="s">
        <v>192</v>
      </c>
      <c r="D8" s="368"/>
      <c r="E8" s="368">
        <v>9</v>
      </c>
      <c r="F8" s="368" t="s">
        <v>1284</v>
      </c>
      <c r="G8" s="368" t="s">
        <v>129</v>
      </c>
      <c r="H8" s="369" t="s">
        <v>874</v>
      </c>
      <c r="I8" s="369" t="s">
        <v>884</v>
      </c>
      <c r="J8" s="369"/>
      <c r="K8" s="368" t="s">
        <v>1191</v>
      </c>
      <c r="L8" s="376">
        <v>35377</v>
      </c>
      <c r="M8" s="371">
        <f t="shared" ca="1" si="0"/>
        <v>29</v>
      </c>
      <c r="N8" s="368" t="s">
        <v>73</v>
      </c>
      <c r="O8" s="372">
        <v>3006200839</v>
      </c>
      <c r="P8" s="369"/>
      <c r="Q8" s="368" t="s">
        <v>1688</v>
      </c>
      <c r="R8" s="373"/>
      <c r="S8" s="374"/>
      <c r="T8" s="369"/>
      <c r="U8" s="375" t="s">
        <v>160</v>
      </c>
      <c r="V8" s="144" t="s">
        <v>210</v>
      </c>
    </row>
    <row r="9" spans="1:22">
      <c r="A9" s="144" t="s">
        <v>56</v>
      </c>
      <c r="B9" s="144" t="s">
        <v>876</v>
      </c>
      <c r="D9" s="368"/>
      <c r="E9" s="368">
        <v>9</v>
      </c>
      <c r="F9" s="368" t="s">
        <v>1284</v>
      </c>
      <c r="G9" s="368" t="s">
        <v>129</v>
      </c>
      <c r="H9" s="369" t="s">
        <v>874</v>
      </c>
      <c r="I9" s="369" t="s">
        <v>885</v>
      </c>
      <c r="J9" s="369"/>
      <c r="K9" s="368" t="s">
        <v>1191</v>
      </c>
      <c r="L9" s="370"/>
      <c r="M9" s="371"/>
      <c r="N9" s="368"/>
      <c r="O9" s="372"/>
      <c r="P9" s="369"/>
      <c r="Q9" s="368" t="s">
        <v>1688</v>
      </c>
      <c r="R9" s="373"/>
      <c r="S9" s="374"/>
      <c r="T9" s="369"/>
      <c r="U9" s="375" t="s">
        <v>160</v>
      </c>
      <c r="V9" s="144" t="s">
        <v>210</v>
      </c>
    </row>
    <row r="10" spans="1:22">
      <c r="A10" s="144" t="s">
        <v>212</v>
      </c>
      <c r="B10" s="144" t="s">
        <v>891</v>
      </c>
      <c r="D10" s="758" t="s">
        <v>2289</v>
      </c>
      <c r="E10" s="758">
        <v>9</v>
      </c>
      <c r="F10" s="758" t="s">
        <v>1284</v>
      </c>
      <c r="G10" s="758" t="s">
        <v>129</v>
      </c>
      <c r="H10" s="858" t="s">
        <v>886</v>
      </c>
      <c r="I10" s="858" t="s">
        <v>887</v>
      </c>
      <c r="J10" s="858">
        <v>71594200</v>
      </c>
      <c r="K10" s="758" t="s">
        <v>1187</v>
      </c>
      <c r="L10" s="859">
        <v>22197</v>
      </c>
      <c r="M10" s="860">
        <f t="shared" ca="1" si="0"/>
        <v>65</v>
      </c>
      <c r="N10" s="758" t="s">
        <v>73</v>
      </c>
      <c r="O10" s="858">
        <v>3007467583</v>
      </c>
      <c r="P10" s="858" t="s">
        <v>888</v>
      </c>
      <c r="Q10" s="758" t="s">
        <v>886</v>
      </c>
      <c r="R10" s="862" t="s">
        <v>321</v>
      </c>
      <c r="S10" s="863" t="s">
        <v>663</v>
      </c>
      <c r="T10" s="858">
        <v>2002</v>
      </c>
      <c r="U10" s="864" t="s">
        <v>166</v>
      </c>
      <c r="V10" s="761" t="s">
        <v>210</v>
      </c>
    </row>
    <row r="11" spans="1:22">
      <c r="A11" s="144" t="s">
        <v>73</v>
      </c>
      <c r="B11" s="144" t="s">
        <v>1585</v>
      </c>
      <c r="D11" s="377"/>
      <c r="E11" s="377">
        <v>9</v>
      </c>
      <c r="F11" s="377" t="s">
        <v>1284</v>
      </c>
      <c r="G11" s="377" t="s">
        <v>129</v>
      </c>
      <c r="H11" s="378" t="s">
        <v>886</v>
      </c>
      <c r="I11" s="378" t="s">
        <v>889</v>
      </c>
      <c r="J11" s="378">
        <v>43536719</v>
      </c>
      <c r="K11" s="377" t="s">
        <v>1191</v>
      </c>
      <c r="L11" s="379">
        <v>25305</v>
      </c>
      <c r="M11" s="380">
        <f t="shared" ca="1" si="0"/>
        <v>57</v>
      </c>
      <c r="N11" s="377" t="s">
        <v>56</v>
      </c>
      <c r="O11" s="384">
        <v>3107426762</v>
      </c>
      <c r="P11" s="378"/>
      <c r="Q11" s="377" t="s">
        <v>1696</v>
      </c>
      <c r="R11" s="381" t="s">
        <v>164</v>
      </c>
      <c r="S11" s="382" t="s">
        <v>663</v>
      </c>
      <c r="T11" s="378">
        <v>2002</v>
      </c>
      <c r="U11" s="383" t="s">
        <v>160</v>
      </c>
      <c r="V11" s="144" t="s">
        <v>210</v>
      </c>
    </row>
    <row r="12" spans="1:22">
      <c r="A12" s="144" t="s">
        <v>272</v>
      </c>
      <c r="D12" s="377"/>
      <c r="E12" s="377">
        <v>9</v>
      </c>
      <c r="F12" s="377" t="s">
        <v>1284</v>
      </c>
      <c r="G12" s="377" t="s">
        <v>129</v>
      </c>
      <c r="H12" s="378" t="s">
        <v>886</v>
      </c>
      <c r="I12" s="378" t="s">
        <v>890</v>
      </c>
      <c r="J12" s="378">
        <v>43498892</v>
      </c>
      <c r="K12" s="377" t="s">
        <v>1187</v>
      </c>
      <c r="L12" s="379">
        <v>23152</v>
      </c>
      <c r="M12" s="380">
        <f t="shared" ca="1" si="0"/>
        <v>62</v>
      </c>
      <c r="N12" s="377" t="s">
        <v>56</v>
      </c>
      <c r="O12" s="384">
        <v>3117108630</v>
      </c>
      <c r="P12" s="378"/>
      <c r="Q12" s="377" t="s">
        <v>886</v>
      </c>
      <c r="R12" s="381" t="s">
        <v>891</v>
      </c>
      <c r="S12" s="382" t="s">
        <v>663</v>
      </c>
      <c r="T12" s="378">
        <v>2002</v>
      </c>
      <c r="U12" s="383" t="s">
        <v>160</v>
      </c>
      <c r="V12" s="144" t="s">
        <v>210</v>
      </c>
    </row>
    <row r="13" spans="1:22">
      <c r="A13" s="144" t="s">
        <v>114</v>
      </c>
      <c r="B13" s="290" t="s">
        <v>461</v>
      </c>
      <c r="C13" s="290"/>
      <c r="D13" s="377"/>
      <c r="E13" s="377">
        <v>9</v>
      </c>
      <c r="F13" s="377" t="s">
        <v>1284</v>
      </c>
      <c r="G13" s="377" t="s">
        <v>129</v>
      </c>
      <c r="H13" s="378" t="s">
        <v>892</v>
      </c>
      <c r="I13" s="378" t="s">
        <v>893</v>
      </c>
      <c r="J13" s="378">
        <v>32502080</v>
      </c>
      <c r="K13" s="377" t="s">
        <v>1191</v>
      </c>
      <c r="L13" s="379">
        <v>19431</v>
      </c>
      <c r="M13" s="380">
        <f t="shared" ca="1" si="0"/>
        <v>73</v>
      </c>
      <c r="N13" s="377" t="s">
        <v>212</v>
      </c>
      <c r="O13" s="378">
        <v>3148821019</v>
      </c>
      <c r="P13" s="378"/>
      <c r="Q13" s="377" t="s">
        <v>886</v>
      </c>
      <c r="R13" s="381" t="s">
        <v>891</v>
      </c>
      <c r="S13" s="382" t="s">
        <v>218</v>
      </c>
      <c r="T13" s="378">
        <v>2012</v>
      </c>
      <c r="U13" s="383" t="s">
        <v>160</v>
      </c>
      <c r="V13" s="144" t="s">
        <v>210</v>
      </c>
    </row>
    <row r="14" spans="1:22">
      <c r="A14" s="144" t="s">
        <v>1586</v>
      </c>
      <c r="B14" s="290" t="s">
        <v>663</v>
      </c>
      <c r="C14" s="290"/>
      <c r="D14" s="377"/>
      <c r="E14" s="377">
        <v>9</v>
      </c>
      <c r="F14" s="377" t="s">
        <v>1284</v>
      </c>
      <c r="G14" s="377" t="s">
        <v>129</v>
      </c>
      <c r="H14" s="378" t="s">
        <v>886</v>
      </c>
      <c r="I14" s="378" t="s">
        <v>894</v>
      </c>
      <c r="J14" s="378">
        <v>71054935</v>
      </c>
      <c r="K14" s="377" t="s">
        <v>1187</v>
      </c>
      <c r="L14" s="379">
        <v>30196</v>
      </c>
      <c r="M14" s="380">
        <f t="shared" ca="1" si="0"/>
        <v>43</v>
      </c>
      <c r="N14" s="377" t="s">
        <v>56</v>
      </c>
      <c r="O14" s="378">
        <v>3122229814</v>
      </c>
      <c r="P14" s="378" t="s">
        <v>895</v>
      </c>
      <c r="Q14" s="377" t="s">
        <v>886</v>
      </c>
      <c r="R14" s="381" t="s">
        <v>876</v>
      </c>
      <c r="S14" s="382" t="s">
        <v>1585</v>
      </c>
      <c r="T14" s="378">
        <v>2007</v>
      </c>
      <c r="U14" s="383" t="s">
        <v>160</v>
      </c>
      <c r="V14" s="144" t="s">
        <v>210</v>
      </c>
    </row>
    <row r="15" spans="1:22">
      <c r="A15" s="144" t="s">
        <v>227</v>
      </c>
      <c r="B15" s="290" t="s">
        <v>170</v>
      </c>
      <c r="C15" s="290"/>
      <c r="D15" s="377"/>
      <c r="E15" s="377">
        <v>9</v>
      </c>
      <c r="F15" s="377" t="s">
        <v>1284</v>
      </c>
      <c r="G15" s="377" t="s">
        <v>129</v>
      </c>
      <c r="H15" s="378" t="s">
        <v>886</v>
      </c>
      <c r="I15" s="378" t="s">
        <v>896</v>
      </c>
      <c r="J15" s="378">
        <v>1152697498</v>
      </c>
      <c r="K15" s="377" t="s">
        <v>1187</v>
      </c>
      <c r="L15" s="379">
        <v>34477</v>
      </c>
      <c r="M15" s="380">
        <f t="shared" ca="1" si="0"/>
        <v>31</v>
      </c>
      <c r="N15" s="377" t="s">
        <v>56</v>
      </c>
      <c r="O15" s="384"/>
      <c r="P15" s="378" t="s">
        <v>897</v>
      </c>
      <c r="Q15" s="377" t="s">
        <v>1696</v>
      </c>
      <c r="R15" s="381" t="s">
        <v>192</v>
      </c>
      <c r="S15" s="382" t="s">
        <v>230</v>
      </c>
      <c r="T15" s="378">
        <v>2015</v>
      </c>
      <c r="U15" s="383" t="s">
        <v>160</v>
      </c>
      <c r="V15" s="144" t="s">
        <v>210</v>
      </c>
    </row>
    <row r="16" spans="1:22">
      <c r="A16" s="144" t="s">
        <v>1587</v>
      </c>
      <c r="B16" s="290" t="s">
        <v>193</v>
      </c>
      <c r="C16" s="290"/>
      <c r="D16" s="377"/>
      <c r="E16" s="377">
        <v>9</v>
      </c>
      <c r="F16" s="377" t="s">
        <v>1284</v>
      </c>
      <c r="G16" s="377" t="s">
        <v>129</v>
      </c>
      <c r="H16" s="378" t="s">
        <v>886</v>
      </c>
      <c r="I16" s="378" t="s">
        <v>898</v>
      </c>
      <c r="J16" s="378">
        <v>43543753</v>
      </c>
      <c r="K16" s="377" t="s">
        <v>1191</v>
      </c>
      <c r="L16" s="379">
        <v>25541</v>
      </c>
      <c r="M16" s="380">
        <f t="shared" ca="1" si="0"/>
        <v>56</v>
      </c>
      <c r="N16" s="377" t="s">
        <v>56</v>
      </c>
      <c r="O16" s="384"/>
      <c r="P16" s="385" t="s">
        <v>899</v>
      </c>
      <c r="Q16" s="377" t="s">
        <v>900</v>
      </c>
      <c r="R16" s="381" t="s">
        <v>321</v>
      </c>
      <c r="S16" s="382" t="s">
        <v>663</v>
      </c>
      <c r="T16" s="378">
        <v>2015</v>
      </c>
      <c r="U16" s="383" t="s">
        <v>160</v>
      </c>
      <c r="V16" s="144" t="s">
        <v>210</v>
      </c>
    </row>
    <row r="17" spans="1:22">
      <c r="A17" s="144" t="s">
        <v>1588</v>
      </c>
      <c r="B17" s="290" t="s">
        <v>1881</v>
      </c>
      <c r="C17" s="290"/>
      <c r="D17" s="377"/>
      <c r="E17" s="377">
        <v>9</v>
      </c>
      <c r="F17" s="377" t="s">
        <v>1284</v>
      </c>
      <c r="G17" s="377" t="s">
        <v>129</v>
      </c>
      <c r="H17" s="378" t="s">
        <v>886</v>
      </c>
      <c r="I17" s="378" t="s">
        <v>901</v>
      </c>
      <c r="J17" s="378">
        <v>32208145</v>
      </c>
      <c r="K17" s="377" t="s">
        <v>1191</v>
      </c>
      <c r="L17" s="379">
        <v>30416</v>
      </c>
      <c r="M17" s="380">
        <f t="shared" ca="1" si="0"/>
        <v>43</v>
      </c>
      <c r="N17" s="377" t="s">
        <v>56</v>
      </c>
      <c r="O17" s="384">
        <v>3234023078</v>
      </c>
      <c r="P17" s="378" t="s">
        <v>902</v>
      </c>
      <c r="Q17" s="377" t="s">
        <v>886</v>
      </c>
      <c r="R17" s="381" t="s">
        <v>164</v>
      </c>
      <c r="S17" s="382" t="s">
        <v>663</v>
      </c>
      <c r="T17" s="378">
        <v>2012</v>
      </c>
      <c r="U17" s="383" t="s">
        <v>160</v>
      </c>
      <c r="V17" s="144" t="s">
        <v>210</v>
      </c>
    </row>
    <row r="18" spans="1:22">
      <c r="B18" s="290" t="s">
        <v>1882</v>
      </c>
      <c r="C18" s="290"/>
      <c r="D18" s="377"/>
      <c r="E18" s="377">
        <v>9</v>
      </c>
      <c r="F18" s="377" t="s">
        <v>1284</v>
      </c>
      <c r="G18" s="377" t="s">
        <v>129</v>
      </c>
      <c r="H18" s="378" t="s">
        <v>886</v>
      </c>
      <c r="I18" s="378" t="s">
        <v>903</v>
      </c>
      <c r="J18" s="378">
        <v>1017129900</v>
      </c>
      <c r="K18" s="377" t="s">
        <v>1187</v>
      </c>
      <c r="L18" s="379">
        <v>31562</v>
      </c>
      <c r="M18" s="380">
        <f t="shared" ca="1" si="0"/>
        <v>39</v>
      </c>
      <c r="N18" s="377" t="s">
        <v>56</v>
      </c>
      <c r="O18" s="384">
        <v>3053753327</v>
      </c>
      <c r="P18" s="385" t="s">
        <v>904</v>
      </c>
      <c r="Q18" s="377" t="s">
        <v>1691</v>
      </c>
      <c r="R18" s="381" t="s">
        <v>164</v>
      </c>
      <c r="S18" s="382" t="s">
        <v>663</v>
      </c>
      <c r="T18" s="378">
        <v>2012</v>
      </c>
      <c r="U18" s="383" t="s">
        <v>160</v>
      </c>
      <c r="V18" s="144" t="s">
        <v>210</v>
      </c>
    </row>
    <row r="19" spans="1:22">
      <c r="A19" s="144" t="s">
        <v>160</v>
      </c>
      <c r="B19" s="290" t="s">
        <v>405</v>
      </c>
      <c r="C19" s="290"/>
      <c r="D19" s="377"/>
      <c r="E19" s="377">
        <v>9</v>
      </c>
      <c r="F19" s="377" t="s">
        <v>1284</v>
      </c>
      <c r="G19" s="377" t="s">
        <v>129</v>
      </c>
      <c r="H19" s="378" t="s">
        <v>886</v>
      </c>
      <c r="I19" s="378" t="s">
        <v>905</v>
      </c>
      <c r="J19" s="378">
        <v>1037778041</v>
      </c>
      <c r="K19" s="377" t="s">
        <v>1191</v>
      </c>
      <c r="L19" s="379">
        <v>39133</v>
      </c>
      <c r="M19" s="380">
        <f t="shared" ca="1" si="0"/>
        <v>19</v>
      </c>
      <c r="N19" s="377" t="s">
        <v>56</v>
      </c>
      <c r="O19" s="378">
        <v>301369435</v>
      </c>
      <c r="P19" s="385" t="s">
        <v>906</v>
      </c>
      <c r="Q19" s="377" t="s">
        <v>886</v>
      </c>
      <c r="R19" s="381" t="s">
        <v>192</v>
      </c>
      <c r="S19" s="382" t="s">
        <v>461</v>
      </c>
      <c r="T19" s="378"/>
      <c r="U19" s="383" t="s">
        <v>160</v>
      </c>
      <c r="V19" s="144" t="s">
        <v>210</v>
      </c>
    </row>
    <row r="20" spans="1:22">
      <c r="A20" s="144" t="s">
        <v>166</v>
      </c>
      <c r="B20" s="290" t="s">
        <v>1883</v>
      </c>
      <c r="C20" s="290"/>
      <c r="D20" s="758" t="s">
        <v>2289</v>
      </c>
      <c r="E20" s="758">
        <v>9</v>
      </c>
      <c r="F20" s="758" t="s">
        <v>1284</v>
      </c>
      <c r="G20" s="758" t="s">
        <v>129</v>
      </c>
      <c r="H20" s="858" t="s">
        <v>907</v>
      </c>
      <c r="I20" s="858" t="s">
        <v>908</v>
      </c>
      <c r="J20" s="858">
        <v>15481150</v>
      </c>
      <c r="K20" s="758" t="s">
        <v>1187</v>
      </c>
      <c r="L20" s="859">
        <v>20801</v>
      </c>
      <c r="M20" s="860">
        <f t="shared" ca="1" si="0"/>
        <v>69</v>
      </c>
      <c r="N20" s="758" t="s">
        <v>56</v>
      </c>
      <c r="O20" s="861">
        <v>3108411133</v>
      </c>
      <c r="P20" s="858"/>
      <c r="Q20" s="758" t="s">
        <v>900</v>
      </c>
      <c r="R20" s="862" t="s">
        <v>164</v>
      </c>
      <c r="S20" s="863" t="s">
        <v>230</v>
      </c>
      <c r="T20" s="858">
        <v>2001</v>
      </c>
      <c r="U20" s="864" t="s">
        <v>166</v>
      </c>
      <c r="V20" s="761" t="s">
        <v>210</v>
      </c>
    </row>
    <row r="21" spans="1:22">
      <c r="B21" s="290" t="s">
        <v>230</v>
      </c>
      <c r="C21" s="290"/>
      <c r="D21" s="386"/>
      <c r="E21" s="386">
        <v>9</v>
      </c>
      <c r="F21" s="386" t="s">
        <v>1284</v>
      </c>
      <c r="G21" s="386" t="s">
        <v>129</v>
      </c>
      <c r="H21" s="387" t="s">
        <v>909</v>
      </c>
      <c r="I21" s="387" t="s">
        <v>910</v>
      </c>
      <c r="J21" s="387">
        <v>1036618524</v>
      </c>
      <c r="K21" s="386" t="s">
        <v>1187</v>
      </c>
      <c r="L21" s="388">
        <v>32168</v>
      </c>
      <c r="M21" s="389">
        <f t="shared" ca="1" si="0"/>
        <v>38</v>
      </c>
      <c r="N21" s="386" t="s">
        <v>73</v>
      </c>
      <c r="O21" s="387">
        <v>3128901946</v>
      </c>
      <c r="P21" s="387"/>
      <c r="Q21" s="386" t="s">
        <v>900</v>
      </c>
      <c r="R21" s="391" t="s">
        <v>164</v>
      </c>
      <c r="S21" s="392" t="s">
        <v>663</v>
      </c>
      <c r="T21" s="387">
        <v>2017</v>
      </c>
      <c r="U21" s="393" t="s">
        <v>160</v>
      </c>
      <c r="V21" s="144" t="s">
        <v>210</v>
      </c>
    </row>
    <row r="22" spans="1:22">
      <c r="A22" s="144" t="s">
        <v>1687</v>
      </c>
      <c r="B22" s="290" t="s">
        <v>1884</v>
      </c>
      <c r="C22" s="290"/>
      <c r="D22" s="386"/>
      <c r="E22" s="386">
        <v>9</v>
      </c>
      <c r="F22" s="386" t="s">
        <v>1284</v>
      </c>
      <c r="G22" s="386" t="s">
        <v>129</v>
      </c>
      <c r="H22" s="387" t="s">
        <v>909</v>
      </c>
      <c r="I22" s="387" t="s">
        <v>911</v>
      </c>
      <c r="J22" s="387">
        <v>43584668</v>
      </c>
      <c r="K22" s="386" t="s">
        <v>1191</v>
      </c>
      <c r="L22" s="388"/>
      <c r="M22" s="389"/>
      <c r="N22" s="386"/>
      <c r="O22" s="390"/>
      <c r="P22" s="387"/>
      <c r="Q22" s="386"/>
      <c r="R22" s="391"/>
      <c r="S22" s="392"/>
      <c r="T22" s="387"/>
      <c r="U22" s="393" t="s">
        <v>160</v>
      </c>
      <c r="V22" s="144" t="s">
        <v>210</v>
      </c>
    </row>
    <row r="23" spans="1:22">
      <c r="A23" s="144" t="s">
        <v>900</v>
      </c>
      <c r="B23" s="290" t="s">
        <v>1885</v>
      </c>
      <c r="C23" s="290"/>
      <c r="D23" s="394" t="s">
        <v>2289</v>
      </c>
      <c r="E23" s="394">
        <v>9</v>
      </c>
      <c r="F23" s="394" t="s">
        <v>1284</v>
      </c>
      <c r="G23" s="394" t="s">
        <v>129</v>
      </c>
      <c r="H23" s="395" t="s">
        <v>912</v>
      </c>
      <c r="I23" s="395" t="s">
        <v>913</v>
      </c>
      <c r="J23" s="395">
        <v>70051947</v>
      </c>
      <c r="K23" s="394" t="s">
        <v>1187</v>
      </c>
      <c r="L23" s="396">
        <v>19478</v>
      </c>
      <c r="M23" s="397">
        <f t="shared" ca="1" si="0"/>
        <v>73</v>
      </c>
      <c r="N23" s="394" t="s">
        <v>56</v>
      </c>
      <c r="O23" s="395">
        <v>3044474679</v>
      </c>
      <c r="P23" s="398" t="s">
        <v>914</v>
      </c>
      <c r="Q23" s="394" t="s">
        <v>1284</v>
      </c>
      <c r="R23" s="399" t="s">
        <v>164</v>
      </c>
      <c r="S23" s="400" t="s">
        <v>230</v>
      </c>
      <c r="T23" s="395">
        <v>2014</v>
      </c>
      <c r="U23" s="401" t="s">
        <v>160</v>
      </c>
      <c r="V23" s="144" t="s">
        <v>210</v>
      </c>
    </row>
    <row r="24" spans="1:22">
      <c r="A24" s="144" t="s">
        <v>1688</v>
      </c>
      <c r="B24" s="290" t="s">
        <v>1886</v>
      </c>
      <c r="C24" s="290"/>
      <c r="D24" s="394"/>
      <c r="E24" s="394">
        <v>9</v>
      </c>
      <c r="F24" s="394" t="s">
        <v>1284</v>
      </c>
      <c r="G24" s="394" t="s">
        <v>129</v>
      </c>
      <c r="H24" s="395" t="s">
        <v>915</v>
      </c>
      <c r="I24" s="395" t="s">
        <v>916</v>
      </c>
      <c r="J24" s="395">
        <v>32607612</v>
      </c>
      <c r="K24" s="394" t="s">
        <v>1191</v>
      </c>
      <c r="L24" s="402">
        <v>19637</v>
      </c>
      <c r="M24" s="397">
        <f t="shared" ca="1" si="0"/>
        <v>72</v>
      </c>
      <c r="N24" s="394" t="s">
        <v>56</v>
      </c>
      <c r="O24" s="403" t="s">
        <v>917</v>
      </c>
      <c r="P24" s="395" t="s">
        <v>918</v>
      </c>
      <c r="Q24" s="394" t="s">
        <v>1284</v>
      </c>
      <c r="R24" s="399" t="s">
        <v>876</v>
      </c>
      <c r="S24" s="400" t="s">
        <v>1585</v>
      </c>
      <c r="T24" s="395">
        <v>2016</v>
      </c>
      <c r="U24" s="401" t="s">
        <v>160</v>
      </c>
      <c r="V24" s="144" t="s">
        <v>210</v>
      </c>
    </row>
    <row r="25" spans="1:22">
      <c r="A25" s="144" t="s">
        <v>1689</v>
      </c>
      <c r="B25" s="290" t="s">
        <v>1887</v>
      </c>
      <c r="C25" s="290"/>
    </row>
    <row r="26" spans="1:22">
      <c r="A26" s="144" t="s">
        <v>1690</v>
      </c>
      <c r="B26" s="290" t="s">
        <v>1888</v>
      </c>
      <c r="C26" s="290"/>
    </row>
    <row r="27" spans="1:22">
      <c r="A27" s="144" t="s">
        <v>1691</v>
      </c>
      <c r="B27" s="290" t="s">
        <v>1889</v>
      </c>
      <c r="C27" s="290"/>
    </row>
    <row r="28" spans="1:22">
      <c r="A28" s="144" t="s">
        <v>1284</v>
      </c>
      <c r="B28" s="290" t="s">
        <v>1890</v>
      </c>
      <c r="C28" s="290"/>
    </row>
    <row r="29" spans="1:22">
      <c r="A29" s="144" t="s">
        <v>1692</v>
      </c>
      <c r="B29" s="290" t="s">
        <v>1891</v>
      </c>
      <c r="C29" s="290"/>
    </row>
    <row r="30" spans="1:22">
      <c r="A30" s="144" t="s">
        <v>1693</v>
      </c>
      <c r="B30" s="290" t="s">
        <v>1892</v>
      </c>
      <c r="C30" s="290"/>
    </row>
    <row r="31" spans="1:22">
      <c r="A31" s="144" t="s">
        <v>1694</v>
      </c>
      <c r="B31" s="290" t="s">
        <v>1893</v>
      </c>
      <c r="C31" s="290"/>
    </row>
    <row r="32" spans="1:22">
      <c r="A32" s="144" t="s">
        <v>1695</v>
      </c>
      <c r="B32" s="290" t="s">
        <v>1894</v>
      </c>
      <c r="C32" s="290"/>
      <c r="D32" s="233"/>
    </row>
    <row r="33" spans="1:4">
      <c r="A33" s="144" t="s">
        <v>912</v>
      </c>
      <c r="B33" s="290" t="s">
        <v>1895</v>
      </c>
      <c r="C33" s="290"/>
    </row>
    <row r="34" spans="1:4">
      <c r="A34" s="144" t="s">
        <v>886</v>
      </c>
      <c r="B34" s="290" t="s">
        <v>1896</v>
      </c>
      <c r="C34" s="290"/>
      <c r="D34" s="233"/>
    </row>
    <row r="35" spans="1:4">
      <c r="A35" s="144" t="s">
        <v>1696</v>
      </c>
      <c r="B35" s="144" t="s">
        <v>1899</v>
      </c>
    </row>
    <row r="36" spans="1:4">
      <c r="A36" s="144" t="s">
        <v>1697</v>
      </c>
      <c r="B36" s="144" t="s">
        <v>1900</v>
      </c>
    </row>
    <row r="37" spans="1:4">
      <c r="A37" s="144" t="s">
        <v>1698</v>
      </c>
      <c r="B37" s="144" t="s">
        <v>1898</v>
      </c>
    </row>
    <row r="38" spans="1:4">
      <c r="A38" s="144" t="s">
        <v>1699</v>
      </c>
      <c r="B38" s="144" t="s">
        <v>218</v>
      </c>
    </row>
    <row r="39" spans="1:4">
      <c r="B39" s="144" t="s">
        <v>1585</v>
      </c>
    </row>
  </sheetData>
  <phoneticPr fontId="41" type="noConversion"/>
  <dataValidations count="7">
    <dataValidation type="list" allowBlank="1" showInputMessage="1" showErrorMessage="1" sqref="K3:K24" xr:uid="{9BD56D8A-9CC5-4420-A73E-BF659CCE885D}">
      <formula1>$A$4:$A$7</formula1>
    </dataValidation>
    <dataValidation type="list" allowBlank="1" showInputMessage="1" showErrorMessage="1" sqref="N3:N24" xr:uid="{083D21F7-5022-40D8-8C8E-BFC53817F97C}">
      <formula1>$A$8:$A$17</formula1>
    </dataValidation>
    <dataValidation type="list" allowBlank="1" showInputMessage="1" showErrorMessage="1" sqref="U3:U24" xr:uid="{80C975E4-8768-4E7B-AD0D-C1C1477A4FAD}">
      <formula1>$A$18:$A$20</formula1>
    </dataValidation>
    <dataValidation type="list" allowBlank="1" showInputMessage="1" showErrorMessage="1" sqref="Q3:Q24" xr:uid="{0DBAE46D-660D-4D43-8CC1-53F0B12F2B16}">
      <formula1>$A$21:$A$38</formula1>
    </dataValidation>
    <dataValidation type="list" allowBlank="1" showInputMessage="1" showErrorMessage="1" sqref="R3:R24" xr:uid="{E752F36C-9087-4623-B180-173CD6A9DF56}">
      <formula1>$B$5:$B$11</formula1>
    </dataValidation>
    <dataValidation type="list" allowBlank="1" showInputMessage="1" showErrorMessage="1" sqref="S3:S24" xr:uid="{FC148194-1844-4D29-B0F1-9580A92CC0FB}">
      <formula1>$B$13:$B$39</formula1>
    </dataValidation>
    <dataValidation type="list" allowBlank="1" showInputMessage="1" showErrorMessage="1" sqref="G3:G24" xr:uid="{45A99054-E6D8-432B-A00D-A9706A174C2B}">
      <formula1>$A$1:$A$3</formula1>
    </dataValidation>
  </dataValidations>
  <hyperlinks>
    <hyperlink ref="P16" r:id="rId1" xr:uid="{321994AD-2440-42F1-9A21-C1FA41E8558D}"/>
    <hyperlink ref="P18" r:id="rId2" xr:uid="{81CEEBEA-E851-45C9-8506-7B5D09AB255D}"/>
    <hyperlink ref="P19" r:id="rId3" xr:uid="{4E037727-02B7-48FF-9CB5-18AB987A3E18}"/>
    <hyperlink ref="P23" r:id="rId4" xr:uid="{9C7D5C3C-CB8A-493C-8D55-1E640FADFB89}"/>
  </hyperlinks>
  <pageMargins left="0.7" right="0.7" top="0.75" bottom="0.75" header="0.3" footer="0.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6B77-2244-4606-A706-2410F23B96A9}">
  <dimension ref="A2:V41"/>
  <sheetViews>
    <sheetView topLeftCell="C1" zoomScale="101" workbookViewId="0">
      <selection activeCell="V3" sqref="E3:V3"/>
    </sheetView>
  </sheetViews>
  <sheetFormatPr baseColWidth="10" defaultColWidth="11.5546875" defaultRowHeight="14.4"/>
  <cols>
    <col min="1" max="1" width="22.6640625" style="291" bestFit="1" customWidth="1"/>
    <col min="2" max="2" width="22.6640625" style="291" customWidth="1"/>
    <col min="3" max="3" width="8.5546875" style="291" customWidth="1"/>
    <col min="4" max="5" width="11.5546875" style="291"/>
    <col min="6" max="6" width="20.5546875" style="291" bestFit="1" customWidth="1"/>
    <col min="7" max="7" width="18.88671875" style="291" customWidth="1"/>
    <col min="8" max="8" width="16.33203125" style="291" customWidth="1"/>
    <col min="9" max="9" width="30.33203125" style="291" bestFit="1" customWidth="1"/>
    <col min="10" max="11" width="11.5546875" style="291"/>
    <col min="12" max="12" width="21" style="291" customWidth="1"/>
    <col min="13" max="13" width="11.5546875" style="291"/>
    <col min="14" max="14" width="15.6640625" style="291" customWidth="1"/>
    <col min="15" max="15" width="11.5546875" style="291"/>
    <col min="16" max="16" width="18.6640625" style="291" customWidth="1"/>
    <col min="17" max="17" width="16.5546875" style="291" customWidth="1"/>
    <col min="18" max="18" width="13" style="291" bestFit="1" customWidth="1"/>
    <col min="19" max="19" width="11.5546875" style="291"/>
    <col min="20" max="21" width="25.6640625" style="291" customWidth="1"/>
    <col min="22" max="16384" width="11.5546875" style="291"/>
  </cols>
  <sheetData>
    <row r="2" spans="1:22">
      <c r="A2" s="291" t="s">
        <v>151</v>
      </c>
      <c r="D2" s="153" t="s">
        <v>417</v>
      </c>
      <c r="E2" s="153" t="s">
        <v>2288</v>
      </c>
      <c r="F2" s="305" t="s">
        <v>1854</v>
      </c>
      <c r="G2" s="306" t="s">
        <v>1584</v>
      </c>
      <c r="H2" s="306" t="s">
        <v>418</v>
      </c>
      <c r="I2" s="306" t="s">
        <v>1410</v>
      </c>
      <c r="J2" s="306" t="s">
        <v>5</v>
      </c>
      <c r="K2" s="306" t="s">
        <v>6</v>
      </c>
      <c r="L2" s="306" t="s">
        <v>7</v>
      </c>
      <c r="M2" s="306" t="s">
        <v>8</v>
      </c>
      <c r="N2" s="306" t="s">
        <v>9</v>
      </c>
      <c r="O2" s="306" t="s">
        <v>1589</v>
      </c>
      <c r="P2" s="306" t="s">
        <v>11</v>
      </c>
      <c r="Q2" s="306" t="s">
        <v>12</v>
      </c>
      <c r="R2" s="306" t="s">
        <v>14</v>
      </c>
      <c r="S2" s="306" t="s">
        <v>16</v>
      </c>
      <c r="T2" s="306" t="s">
        <v>1590</v>
      </c>
      <c r="U2" s="307" t="s">
        <v>18</v>
      </c>
      <c r="V2" s="306" t="s">
        <v>20</v>
      </c>
    </row>
    <row r="3" spans="1:22" ht="28.8">
      <c r="A3" s="291" t="s">
        <v>129</v>
      </c>
      <c r="D3" s="865" t="s">
        <v>2289</v>
      </c>
      <c r="E3" s="866">
        <v>10</v>
      </c>
      <c r="F3" s="866" t="s">
        <v>1568</v>
      </c>
      <c r="G3" s="758" t="s">
        <v>129</v>
      </c>
      <c r="H3" s="858" t="s">
        <v>919</v>
      </c>
      <c r="I3" s="858" t="s">
        <v>920</v>
      </c>
      <c r="J3" s="858"/>
      <c r="K3" s="758" t="s">
        <v>1187</v>
      </c>
      <c r="L3" s="867">
        <v>19921</v>
      </c>
      <c r="M3" s="860">
        <f ca="1">DATEDIF(L3,TODAY(),"Y")</f>
        <v>71</v>
      </c>
      <c r="N3" s="758" t="s">
        <v>73</v>
      </c>
      <c r="O3" s="858">
        <v>3008260485</v>
      </c>
      <c r="P3" s="868" t="s">
        <v>921</v>
      </c>
      <c r="Q3" s="758" t="s">
        <v>919</v>
      </c>
      <c r="R3" s="862" t="s">
        <v>164</v>
      </c>
      <c r="S3" s="863" t="s">
        <v>230</v>
      </c>
      <c r="T3" s="858">
        <v>2000</v>
      </c>
      <c r="U3" s="864" t="s">
        <v>166</v>
      </c>
      <c r="V3" s="869" t="s">
        <v>210</v>
      </c>
    </row>
    <row r="4" spans="1:22">
      <c r="D4" s="304"/>
      <c r="E4" s="304">
        <v>10</v>
      </c>
      <c r="F4" s="304" t="s">
        <v>1568</v>
      </c>
      <c r="G4" s="149" t="s">
        <v>129</v>
      </c>
      <c r="H4" s="292" t="s">
        <v>919</v>
      </c>
      <c r="I4" s="292" t="s">
        <v>922</v>
      </c>
      <c r="J4" s="292"/>
      <c r="K4" s="149" t="s">
        <v>1191</v>
      </c>
      <c r="L4" s="298">
        <v>25175</v>
      </c>
      <c r="M4" s="293">
        <f ca="1">DATEDIF(L4,TODAY(),"Y")</f>
        <v>57</v>
      </c>
      <c r="N4" s="149" t="s">
        <v>56</v>
      </c>
      <c r="O4" s="292">
        <v>3017276285</v>
      </c>
      <c r="P4" s="292" t="s">
        <v>923</v>
      </c>
      <c r="Q4" s="149" t="s">
        <v>919</v>
      </c>
      <c r="R4" s="295" t="s">
        <v>164</v>
      </c>
      <c r="S4" s="296" t="s">
        <v>663</v>
      </c>
      <c r="T4" s="292">
        <v>2007</v>
      </c>
      <c r="U4" s="297" t="s">
        <v>160</v>
      </c>
      <c r="V4" s="291" t="s">
        <v>210</v>
      </c>
    </row>
    <row r="5" spans="1:22">
      <c r="A5" s="291" t="s">
        <v>1191</v>
      </c>
      <c r="B5" s="291" t="s">
        <v>333</v>
      </c>
      <c r="D5" s="304"/>
      <c r="E5" s="304">
        <v>10</v>
      </c>
      <c r="F5" s="304" t="s">
        <v>1568</v>
      </c>
      <c r="G5" s="149" t="s">
        <v>129</v>
      </c>
      <c r="H5" s="292" t="s">
        <v>919</v>
      </c>
      <c r="I5" s="292" t="s">
        <v>924</v>
      </c>
      <c r="J5" s="292"/>
      <c r="K5" s="149" t="s">
        <v>1191</v>
      </c>
      <c r="L5" s="298">
        <v>29108</v>
      </c>
      <c r="M5" s="293">
        <f t="shared" ref="M5:M10" ca="1" si="0">DATEDIF(L5,TODAY(),"Y")</f>
        <v>46</v>
      </c>
      <c r="N5" s="149" t="s">
        <v>56</v>
      </c>
      <c r="O5" s="292">
        <v>3004323496</v>
      </c>
      <c r="P5" s="294" t="s">
        <v>925</v>
      </c>
      <c r="Q5" s="149" t="s">
        <v>1568</v>
      </c>
      <c r="R5" s="295" t="s">
        <v>164</v>
      </c>
      <c r="S5" s="296" t="s">
        <v>663</v>
      </c>
      <c r="T5" s="292">
        <v>2014</v>
      </c>
      <c r="U5" s="297" t="s">
        <v>166</v>
      </c>
      <c r="V5" s="291" t="s">
        <v>210</v>
      </c>
    </row>
    <row r="6" spans="1:22">
      <c r="A6" s="291" t="s">
        <v>1187</v>
      </c>
      <c r="B6" s="291" t="s">
        <v>164</v>
      </c>
      <c r="D6" s="304"/>
      <c r="E6" s="304">
        <v>10</v>
      </c>
      <c r="F6" s="304" t="s">
        <v>1568</v>
      </c>
      <c r="G6" s="149" t="s">
        <v>129</v>
      </c>
      <c r="H6" s="292" t="s">
        <v>919</v>
      </c>
      <c r="I6" s="292" t="s">
        <v>926</v>
      </c>
      <c r="J6" s="292"/>
      <c r="K6" s="149" t="s">
        <v>1187</v>
      </c>
      <c r="L6" s="298">
        <v>25208</v>
      </c>
      <c r="M6" s="293">
        <f t="shared" ca="1" si="0"/>
        <v>57</v>
      </c>
      <c r="N6" s="149" t="s">
        <v>56</v>
      </c>
      <c r="O6" s="292">
        <v>3135950978</v>
      </c>
      <c r="P6" s="294" t="s">
        <v>927</v>
      </c>
      <c r="Q6" s="149" t="s">
        <v>1709</v>
      </c>
      <c r="R6" s="295" t="s">
        <v>333</v>
      </c>
      <c r="S6" s="296" t="s">
        <v>1585</v>
      </c>
      <c r="T6" s="292">
        <v>2001</v>
      </c>
      <c r="U6" s="297" t="s">
        <v>160</v>
      </c>
      <c r="V6" s="291" t="s">
        <v>210</v>
      </c>
    </row>
    <row r="7" spans="1:22">
      <c r="A7" s="291" t="s">
        <v>1585</v>
      </c>
      <c r="B7" s="291" t="s">
        <v>321</v>
      </c>
      <c r="D7" s="304"/>
      <c r="E7" s="304">
        <v>10</v>
      </c>
      <c r="F7" s="304" t="s">
        <v>1568</v>
      </c>
      <c r="G7" s="149" t="s">
        <v>129</v>
      </c>
      <c r="H7" s="292" t="s">
        <v>919</v>
      </c>
      <c r="I7" s="292" t="s">
        <v>928</v>
      </c>
      <c r="J7" s="292"/>
      <c r="K7" s="149" t="s">
        <v>1187</v>
      </c>
      <c r="L7" s="298">
        <v>23458</v>
      </c>
      <c r="M7" s="293">
        <f t="shared" ca="1" si="0"/>
        <v>62</v>
      </c>
      <c r="N7" s="149" t="s">
        <v>56</v>
      </c>
      <c r="O7" s="292">
        <v>3017276283</v>
      </c>
      <c r="P7" s="292" t="s">
        <v>929</v>
      </c>
      <c r="Q7" s="149" t="s">
        <v>919</v>
      </c>
      <c r="R7" s="295" t="s">
        <v>333</v>
      </c>
      <c r="S7" s="296" t="s">
        <v>663</v>
      </c>
      <c r="T7" s="292">
        <v>2007</v>
      </c>
      <c r="U7" s="297" t="s">
        <v>166</v>
      </c>
      <c r="V7" s="291" t="s">
        <v>210</v>
      </c>
    </row>
    <row r="8" spans="1:22">
      <c r="B8" s="291" t="s">
        <v>192</v>
      </c>
      <c r="D8" s="304"/>
      <c r="E8" s="304">
        <v>10</v>
      </c>
      <c r="F8" s="304" t="s">
        <v>1568</v>
      </c>
      <c r="G8" s="149" t="s">
        <v>129</v>
      </c>
      <c r="H8" s="292" t="s">
        <v>919</v>
      </c>
      <c r="I8" s="292" t="s">
        <v>930</v>
      </c>
      <c r="J8" s="292"/>
      <c r="K8" s="149" t="s">
        <v>1187</v>
      </c>
      <c r="L8" s="298">
        <v>15728</v>
      </c>
      <c r="M8" s="293">
        <f t="shared" ca="1" si="0"/>
        <v>83</v>
      </c>
      <c r="N8" s="149" t="s">
        <v>212</v>
      </c>
      <c r="O8" s="292">
        <v>3103477939</v>
      </c>
      <c r="P8" s="292"/>
      <c r="Q8" s="149" t="s">
        <v>931</v>
      </c>
      <c r="R8" s="295" t="s">
        <v>876</v>
      </c>
      <c r="S8" s="296" t="s">
        <v>461</v>
      </c>
      <c r="T8" s="292">
        <v>2000</v>
      </c>
      <c r="U8" s="297" t="s">
        <v>160</v>
      </c>
      <c r="V8" s="291" t="s">
        <v>210</v>
      </c>
    </row>
    <row r="9" spans="1:22">
      <c r="A9" s="291" t="s">
        <v>56</v>
      </c>
      <c r="B9" s="291" t="s">
        <v>876</v>
      </c>
      <c r="D9" s="304"/>
      <c r="E9" s="304">
        <v>10</v>
      </c>
      <c r="F9" s="304" t="s">
        <v>1568</v>
      </c>
      <c r="G9" s="149" t="s">
        <v>129</v>
      </c>
      <c r="H9" s="292" t="s">
        <v>919</v>
      </c>
      <c r="I9" s="292" t="s">
        <v>932</v>
      </c>
      <c r="J9" s="292"/>
      <c r="K9" s="149" t="s">
        <v>1187</v>
      </c>
      <c r="L9" s="298">
        <v>35470</v>
      </c>
      <c r="M9" s="293">
        <f t="shared" ca="1" si="0"/>
        <v>29</v>
      </c>
      <c r="N9" s="149" t="s">
        <v>73</v>
      </c>
      <c r="O9" s="292">
        <v>3168463651</v>
      </c>
      <c r="P9" s="292"/>
      <c r="Q9" s="149" t="s">
        <v>919</v>
      </c>
      <c r="R9" s="295" t="s">
        <v>192</v>
      </c>
      <c r="S9" s="296" t="s">
        <v>218</v>
      </c>
      <c r="T9" s="292">
        <v>2013</v>
      </c>
      <c r="U9" s="297" t="s">
        <v>166</v>
      </c>
      <c r="V9" s="291" t="s">
        <v>210</v>
      </c>
    </row>
    <row r="10" spans="1:22">
      <c r="A10" s="291" t="s">
        <v>212</v>
      </c>
      <c r="B10" s="291" t="s">
        <v>891</v>
      </c>
      <c r="D10" s="304"/>
      <c r="E10" s="304">
        <v>10</v>
      </c>
      <c r="F10" s="304" t="s">
        <v>1568</v>
      </c>
      <c r="G10" s="149" t="s">
        <v>129</v>
      </c>
      <c r="H10" s="292" t="s">
        <v>919</v>
      </c>
      <c r="I10" s="292" t="s">
        <v>933</v>
      </c>
      <c r="J10" s="292"/>
      <c r="K10" s="149" t="s">
        <v>1187</v>
      </c>
      <c r="L10" s="298">
        <v>27030</v>
      </c>
      <c r="M10" s="293">
        <f t="shared" ca="1" si="0"/>
        <v>52</v>
      </c>
      <c r="N10" s="149" t="s">
        <v>56</v>
      </c>
      <c r="O10" s="292">
        <v>3004625191</v>
      </c>
      <c r="P10" s="301" t="s">
        <v>934</v>
      </c>
      <c r="Q10" s="149" t="s">
        <v>919</v>
      </c>
      <c r="R10" s="295" t="s">
        <v>333</v>
      </c>
      <c r="S10" s="296" t="s">
        <v>1585</v>
      </c>
      <c r="T10" s="292">
        <v>2013</v>
      </c>
      <c r="U10" s="297" t="s">
        <v>160</v>
      </c>
      <c r="V10" s="291" t="s">
        <v>210</v>
      </c>
    </row>
    <row r="11" spans="1:22">
      <c r="A11" s="291" t="s">
        <v>73</v>
      </c>
      <c r="B11" s="291" t="s">
        <v>1585</v>
      </c>
      <c r="D11" s="710"/>
      <c r="E11" s="304">
        <v>10</v>
      </c>
      <c r="F11" s="304" t="s">
        <v>1568</v>
      </c>
      <c r="G11" s="149" t="s">
        <v>129</v>
      </c>
      <c r="H11" s="292" t="s">
        <v>919</v>
      </c>
      <c r="I11" s="292" t="s">
        <v>935</v>
      </c>
      <c r="J11" s="292"/>
      <c r="K11" s="149" t="s">
        <v>1187</v>
      </c>
      <c r="L11" s="298"/>
      <c r="M11" s="293"/>
      <c r="N11" s="149"/>
      <c r="O11" s="292"/>
      <c r="P11" s="292"/>
      <c r="Q11" s="149"/>
      <c r="R11" s="295"/>
      <c r="S11" s="296"/>
      <c r="T11" s="149">
        <v>2006</v>
      </c>
      <c r="U11" s="297" t="s">
        <v>166</v>
      </c>
      <c r="V11" s="291" t="s">
        <v>210</v>
      </c>
    </row>
    <row r="12" spans="1:22">
      <c r="A12" s="291" t="s">
        <v>272</v>
      </c>
    </row>
    <row r="13" spans="1:22">
      <c r="A13" s="291" t="s">
        <v>114</v>
      </c>
      <c r="B13" s="302" t="s">
        <v>461</v>
      </c>
    </row>
    <row r="14" spans="1:22">
      <c r="A14" s="291" t="s">
        <v>1586</v>
      </c>
      <c r="B14" s="302" t="s">
        <v>663</v>
      </c>
      <c r="H14" s="303"/>
    </row>
    <row r="15" spans="1:22">
      <c r="A15" s="291" t="s">
        <v>227</v>
      </c>
      <c r="B15" s="302" t="s">
        <v>170</v>
      </c>
    </row>
    <row r="16" spans="1:22">
      <c r="A16" s="291" t="s">
        <v>1587</v>
      </c>
      <c r="B16" s="302" t="s">
        <v>193</v>
      </c>
    </row>
    <row r="17" spans="1:22">
      <c r="A17" s="291" t="s">
        <v>1588</v>
      </c>
      <c r="B17" s="302" t="s">
        <v>1881</v>
      </c>
    </row>
    <row r="18" spans="1:22">
      <c r="B18" s="302" t="s">
        <v>1882</v>
      </c>
    </row>
    <row r="19" spans="1:22">
      <c r="A19" s="291" t="s">
        <v>160</v>
      </c>
      <c r="B19" s="302" t="s">
        <v>405</v>
      </c>
    </row>
    <row r="20" spans="1:22">
      <c r="A20" s="291" t="s">
        <v>166</v>
      </c>
      <c r="B20" s="302" t="s">
        <v>1883</v>
      </c>
      <c r="V20" s="299"/>
    </row>
    <row r="21" spans="1:22">
      <c r="B21" s="302" t="s">
        <v>230</v>
      </c>
      <c r="H21" s="300"/>
      <c r="I21" s="300"/>
      <c r="J21" s="300"/>
      <c r="V21" s="300"/>
    </row>
    <row r="22" spans="1:22">
      <c r="A22" s="291" t="s">
        <v>931</v>
      </c>
      <c r="B22" s="302" t="s">
        <v>1884</v>
      </c>
    </row>
    <row r="23" spans="1:22">
      <c r="A23" s="291" t="s">
        <v>1700</v>
      </c>
      <c r="B23" s="302" t="s">
        <v>1885</v>
      </c>
    </row>
    <row r="24" spans="1:22">
      <c r="A24" s="291" t="s">
        <v>1701</v>
      </c>
      <c r="B24" s="302" t="s">
        <v>1886</v>
      </c>
    </row>
    <row r="25" spans="1:22">
      <c r="A25" s="291" t="s">
        <v>1702</v>
      </c>
      <c r="B25" s="302" t="s">
        <v>1887</v>
      </c>
    </row>
    <row r="26" spans="1:22">
      <c r="A26" s="291" t="s">
        <v>1703</v>
      </c>
      <c r="B26" s="302" t="s">
        <v>1888</v>
      </c>
    </row>
    <row r="27" spans="1:22">
      <c r="A27" s="291" t="s">
        <v>1713</v>
      </c>
      <c r="B27" s="302" t="s">
        <v>1889</v>
      </c>
    </row>
    <row r="28" spans="1:22">
      <c r="A28" s="291" t="s">
        <v>1704</v>
      </c>
      <c r="B28" s="302" t="s">
        <v>1890</v>
      </c>
    </row>
    <row r="29" spans="1:22">
      <c r="A29" s="291" t="s">
        <v>1705</v>
      </c>
      <c r="B29" s="302" t="s">
        <v>1891</v>
      </c>
    </row>
    <row r="30" spans="1:22">
      <c r="A30" s="291" t="s">
        <v>1706</v>
      </c>
      <c r="B30" s="302" t="s">
        <v>1892</v>
      </c>
    </row>
    <row r="31" spans="1:22">
      <c r="A31" s="291" t="s">
        <v>1707</v>
      </c>
      <c r="B31" s="302" t="s">
        <v>1893</v>
      </c>
    </row>
    <row r="32" spans="1:22">
      <c r="A32" s="291" t="s">
        <v>1708</v>
      </c>
      <c r="B32" s="302" t="s">
        <v>1894</v>
      </c>
    </row>
    <row r="33" spans="1:2">
      <c r="A33" s="291" t="s">
        <v>1709</v>
      </c>
      <c r="B33" s="302" t="s">
        <v>1895</v>
      </c>
    </row>
    <row r="34" spans="1:2">
      <c r="A34" s="291" t="s">
        <v>1710</v>
      </c>
      <c r="B34" s="302" t="s">
        <v>1896</v>
      </c>
    </row>
    <row r="35" spans="1:2">
      <c r="A35" s="291" t="s">
        <v>919</v>
      </c>
      <c r="B35" s="291" t="s">
        <v>1899</v>
      </c>
    </row>
    <row r="36" spans="1:2">
      <c r="A36" s="291" t="s">
        <v>1548</v>
      </c>
      <c r="B36" s="291" t="s">
        <v>1900</v>
      </c>
    </row>
    <row r="37" spans="1:2">
      <c r="A37" s="291" t="s">
        <v>1711</v>
      </c>
      <c r="B37" s="291" t="s">
        <v>1898</v>
      </c>
    </row>
    <row r="38" spans="1:2">
      <c r="A38" s="291" t="s">
        <v>1568</v>
      </c>
      <c r="B38" s="291" t="s">
        <v>218</v>
      </c>
    </row>
    <row r="39" spans="1:2">
      <c r="A39" s="291" t="s">
        <v>1712</v>
      </c>
      <c r="B39" s="291" t="s">
        <v>1585</v>
      </c>
    </row>
    <row r="40" spans="1:2">
      <c r="A40" s="291" t="s">
        <v>1714</v>
      </c>
    </row>
    <row r="41" spans="1:2">
      <c r="A41" s="291" t="s">
        <v>1715</v>
      </c>
    </row>
  </sheetData>
  <dataValidations count="7">
    <dataValidation type="list" allowBlank="1" showInputMessage="1" showErrorMessage="1" sqref="U3:U11" xr:uid="{DCF471C3-0D44-4B68-94AF-3B01903FE855}">
      <formula1>$A$18:$A$20</formula1>
    </dataValidation>
    <dataValidation type="list" allowBlank="1" showInputMessage="1" showErrorMessage="1" sqref="N3:N11" xr:uid="{BE7199CE-BAC2-45E5-9D97-425639F4BF62}">
      <formula1>$A$8:$A$17</formula1>
    </dataValidation>
    <dataValidation type="list" allowBlank="1" showInputMessage="1" showErrorMessage="1" sqref="K3:K11" xr:uid="{8C659CE1-2B1A-4B5F-9A0B-B62882BE5C34}">
      <formula1>$A$4:$A$7</formula1>
    </dataValidation>
    <dataValidation type="list" allowBlank="1" showInputMessage="1" showErrorMessage="1" sqref="G3:G23" xr:uid="{6E1F4814-D696-4D49-A4B8-63451519FD91}">
      <formula1>$A$1:$A$3</formula1>
    </dataValidation>
    <dataValidation type="list" allowBlank="1" showInputMessage="1" showErrorMessage="1" sqref="Q3:Q11" xr:uid="{8F680BA1-8E68-402B-9F88-DD5B27547AAC}">
      <formula1>$A$21:$A$41</formula1>
    </dataValidation>
    <dataValidation type="list" allowBlank="1" showInputMessage="1" showErrorMessage="1" sqref="R3:R11" xr:uid="{EB401609-652D-462D-8489-9712D4ABFFFD}">
      <formula1>$B$5:$B$11</formula1>
    </dataValidation>
    <dataValidation type="list" allowBlank="1" showInputMessage="1" showErrorMessage="1" sqref="S3:S11" xr:uid="{558BBDE1-BE94-434F-89D5-B176DD315B03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03B7-0D34-4908-8A29-805F2D2BEEC6}">
  <sheetPr>
    <tabColor rgb="FFFF0000"/>
  </sheetPr>
  <dimension ref="A2:AA39"/>
  <sheetViews>
    <sheetView topLeftCell="E1" zoomScale="84" workbookViewId="0">
      <selection activeCell="F12" sqref="F12"/>
    </sheetView>
  </sheetViews>
  <sheetFormatPr baseColWidth="10" defaultColWidth="11.5546875" defaultRowHeight="14.4"/>
  <cols>
    <col min="1" max="1" width="22.6640625" style="132" bestFit="1" customWidth="1"/>
    <col min="2" max="3" width="22.6640625" style="132" customWidth="1"/>
    <col min="4" max="5" width="11.5546875" style="132"/>
    <col min="6" max="6" width="17.6640625" style="132" customWidth="1"/>
    <col min="7" max="7" width="18.6640625" style="132" customWidth="1"/>
    <col min="8" max="8" width="16.44140625" style="132" customWidth="1"/>
    <col min="9" max="9" width="24.33203125" style="132" customWidth="1"/>
    <col min="10" max="11" width="11.5546875" style="132"/>
    <col min="12" max="12" width="21" style="132" customWidth="1"/>
    <col min="13" max="13" width="11.5546875" style="132"/>
    <col min="14" max="14" width="16" style="132" customWidth="1"/>
    <col min="15" max="15" width="11.5546875" style="132"/>
    <col min="16" max="16" width="19.109375" style="132" customWidth="1"/>
    <col min="17" max="17" width="11.5546875" style="132"/>
    <col min="18" max="18" width="12.33203125" style="132" customWidth="1"/>
    <col min="19" max="19" width="11.5546875" style="132"/>
    <col min="20" max="20" width="25.88671875" style="132" customWidth="1"/>
    <col min="21" max="21" width="25.6640625" style="132" customWidth="1"/>
    <col min="22" max="16384" width="11.5546875" style="132"/>
  </cols>
  <sheetData>
    <row r="2" spans="1:22">
      <c r="A2" s="144" t="s">
        <v>151</v>
      </c>
      <c r="B2" s="144"/>
      <c r="C2" s="144"/>
      <c r="D2" s="153" t="s">
        <v>417</v>
      </c>
      <c r="E2" s="153" t="s">
        <v>2288</v>
      </c>
      <c r="F2" s="154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2">
      <c r="A3" s="144" t="s">
        <v>129</v>
      </c>
      <c r="B3" s="144"/>
      <c r="D3" s="870"/>
      <c r="E3" s="871">
        <v>11</v>
      </c>
      <c r="F3" s="790" t="s">
        <v>1569</v>
      </c>
      <c r="G3" s="790" t="s">
        <v>129</v>
      </c>
      <c r="H3" s="872" t="s">
        <v>1878</v>
      </c>
      <c r="I3" s="872"/>
      <c r="J3" s="872" t="s">
        <v>1878</v>
      </c>
      <c r="K3" s="790" t="s">
        <v>1585</v>
      </c>
      <c r="L3" s="873">
        <v>36526</v>
      </c>
      <c r="M3" s="874">
        <f ca="1">DATEDIF(L3,TODAY(),"Y")</f>
        <v>26</v>
      </c>
      <c r="N3" s="790" t="s">
        <v>1588</v>
      </c>
      <c r="O3" s="875" t="s">
        <v>1879</v>
      </c>
      <c r="P3" s="875" t="s">
        <v>1879</v>
      </c>
      <c r="Q3" s="790" t="s">
        <v>1730</v>
      </c>
      <c r="R3" s="876" t="s">
        <v>1585</v>
      </c>
      <c r="S3" s="877" t="s">
        <v>1585</v>
      </c>
      <c r="T3" s="872" t="s">
        <v>1878</v>
      </c>
      <c r="U3" s="878" t="s">
        <v>166</v>
      </c>
      <c r="V3" s="769" t="s">
        <v>210</v>
      </c>
    </row>
    <row r="4" spans="1:22">
      <c r="D4" s="801"/>
      <c r="E4" s="801">
        <v>11</v>
      </c>
      <c r="F4" s="802" t="s">
        <v>1569</v>
      </c>
      <c r="G4" s="802" t="s">
        <v>129</v>
      </c>
      <c r="H4" s="879" t="s">
        <v>1878</v>
      </c>
      <c r="I4" s="879"/>
      <c r="J4" s="879" t="s">
        <v>1878</v>
      </c>
      <c r="K4" s="802" t="s">
        <v>1585</v>
      </c>
      <c r="L4" s="880">
        <v>36527</v>
      </c>
      <c r="M4" s="803">
        <f ca="1">DATEDIF(L4,TODAY(),"Y")</f>
        <v>26</v>
      </c>
      <c r="N4" s="802" t="s">
        <v>1588</v>
      </c>
      <c r="O4" s="881" t="s">
        <v>1880</v>
      </c>
      <c r="P4" s="881" t="s">
        <v>1880</v>
      </c>
      <c r="Q4" s="802" t="s">
        <v>1728</v>
      </c>
      <c r="R4" s="882" t="s">
        <v>1585</v>
      </c>
      <c r="S4" s="883" t="s">
        <v>1585</v>
      </c>
      <c r="T4" s="879" t="s">
        <v>1878</v>
      </c>
      <c r="U4" s="796" t="s">
        <v>160</v>
      </c>
      <c r="V4" s="769" t="s">
        <v>210</v>
      </c>
    </row>
    <row r="5" spans="1:22">
      <c r="A5" s="144" t="s">
        <v>1191</v>
      </c>
      <c r="B5" t="s">
        <v>333</v>
      </c>
      <c r="C5" s="144"/>
    </row>
    <row r="6" spans="1:22">
      <c r="A6" s="144" t="s">
        <v>1187</v>
      </c>
      <c r="B6" t="s">
        <v>164</v>
      </c>
      <c r="C6" s="144"/>
    </row>
    <row r="7" spans="1:22">
      <c r="A7" s="144" t="s">
        <v>1585</v>
      </c>
      <c r="B7" t="s">
        <v>321</v>
      </c>
      <c r="C7" s="144"/>
      <c r="D7" s="950" t="s">
        <v>2327</v>
      </c>
      <c r="E7" s="950"/>
    </row>
    <row r="8" spans="1:22">
      <c r="B8" t="s">
        <v>192</v>
      </c>
    </row>
    <row r="9" spans="1:22">
      <c r="A9" s="144" t="s">
        <v>56</v>
      </c>
      <c r="B9" t="s">
        <v>876</v>
      </c>
      <c r="C9" s="144"/>
    </row>
    <row r="10" spans="1:22">
      <c r="A10" s="144" t="s">
        <v>212</v>
      </c>
      <c r="B10" t="s">
        <v>891</v>
      </c>
      <c r="C10" s="144"/>
    </row>
    <row r="11" spans="1:22">
      <c r="A11" s="144" t="s">
        <v>73</v>
      </c>
      <c r="B11" t="s">
        <v>1585</v>
      </c>
      <c r="C11" s="143"/>
      <c r="I11" s="146"/>
    </row>
    <row r="12" spans="1:22">
      <c r="A12" s="144" t="s">
        <v>272</v>
      </c>
      <c r="B12" s="144"/>
      <c r="C12" s="144"/>
    </row>
    <row r="13" spans="1:22">
      <c r="A13" s="144" t="s">
        <v>114</v>
      </c>
      <c r="B13" s="171" t="s">
        <v>461</v>
      </c>
      <c r="C13" s="144"/>
    </row>
    <row r="14" spans="1:22">
      <c r="A14" s="144" t="s">
        <v>1586</v>
      </c>
      <c r="B14" s="171" t="s">
        <v>663</v>
      </c>
      <c r="C14" s="144"/>
    </row>
    <row r="15" spans="1:22">
      <c r="A15" s="144" t="s">
        <v>227</v>
      </c>
      <c r="B15" s="171" t="s">
        <v>170</v>
      </c>
      <c r="C15" s="144"/>
    </row>
    <row r="16" spans="1:22">
      <c r="A16" s="144" t="s">
        <v>1587</v>
      </c>
      <c r="B16" s="171" t="s">
        <v>193</v>
      </c>
      <c r="C16" s="144"/>
    </row>
    <row r="17" spans="1:27">
      <c r="A17" s="144" t="s">
        <v>1588</v>
      </c>
      <c r="B17" s="171" t="s">
        <v>1881</v>
      </c>
      <c r="C17" s="144"/>
    </row>
    <row r="18" spans="1:27">
      <c r="B18" s="171" t="s">
        <v>1882</v>
      </c>
    </row>
    <row r="19" spans="1:27">
      <c r="A19" s="144" t="s">
        <v>160</v>
      </c>
      <c r="B19" s="171" t="s">
        <v>405</v>
      </c>
      <c r="C19" s="144"/>
    </row>
    <row r="20" spans="1:27">
      <c r="A20" s="144" t="s">
        <v>166</v>
      </c>
      <c r="B20" s="171" t="s">
        <v>1883</v>
      </c>
      <c r="C20" s="144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 spans="1:27">
      <c r="B21" s="171" t="s">
        <v>230</v>
      </c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2"/>
      <c r="Z21" s="133"/>
      <c r="AA21" s="133"/>
    </row>
    <row r="22" spans="1:27">
      <c r="A22" s="144" t="s">
        <v>1727</v>
      </c>
      <c r="B22" s="171" t="s">
        <v>1884</v>
      </c>
    </row>
    <row r="23" spans="1:27">
      <c r="A23" s="132" t="s">
        <v>1741</v>
      </c>
      <c r="B23" s="171" t="s">
        <v>1885</v>
      </c>
      <c r="C23" s="143"/>
    </row>
    <row r="24" spans="1:27">
      <c r="A24" s="144" t="s">
        <v>1743</v>
      </c>
      <c r="B24" s="171" t="s">
        <v>1886</v>
      </c>
      <c r="C24" s="144"/>
      <c r="G24" s="144"/>
    </row>
    <row r="25" spans="1:27">
      <c r="A25" s="132" t="s">
        <v>1740</v>
      </c>
      <c r="B25" s="171" t="s">
        <v>1887</v>
      </c>
    </row>
    <row r="26" spans="1:27">
      <c r="A26" s="144" t="s">
        <v>1728</v>
      </c>
      <c r="B26" s="171" t="s">
        <v>1888</v>
      </c>
    </row>
    <row r="27" spans="1:27">
      <c r="A27" s="144" t="s">
        <v>1744</v>
      </c>
      <c r="B27" s="171" t="s">
        <v>1889</v>
      </c>
    </row>
    <row r="28" spans="1:27">
      <c r="A28" s="144" t="s">
        <v>1739</v>
      </c>
      <c r="B28" s="171" t="s">
        <v>1890</v>
      </c>
    </row>
    <row r="29" spans="1:27">
      <c r="A29" s="144" t="s">
        <v>1729</v>
      </c>
      <c r="B29" s="171" t="s">
        <v>1891</v>
      </c>
    </row>
    <row r="30" spans="1:27">
      <c r="A30" s="132" t="s">
        <v>1742</v>
      </c>
      <c r="B30" s="171" t="s">
        <v>1892</v>
      </c>
    </row>
    <row r="31" spans="1:27">
      <c r="A31" s="132" t="s">
        <v>1738</v>
      </c>
      <c r="B31" s="171" t="s">
        <v>1893</v>
      </c>
      <c r="C31" s="143"/>
    </row>
    <row r="32" spans="1:27">
      <c r="A32" s="132" t="s">
        <v>1731</v>
      </c>
      <c r="B32" s="171" t="s">
        <v>1894</v>
      </c>
    </row>
    <row r="33" spans="1:2">
      <c r="A33" s="144" t="s">
        <v>1730</v>
      </c>
      <c r="B33" s="171" t="s">
        <v>1895</v>
      </c>
    </row>
    <row r="34" spans="1:2">
      <c r="A34" s="144" t="s">
        <v>1732</v>
      </c>
      <c r="B34" s="171" t="s">
        <v>1896</v>
      </c>
    </row>
    <row r="35" spans="1:2">
      <c r="A35" s="144" t="s">
        <v>1734</v>
      </c>
      <c r="B35" s="170" t="s">
        <v>1899</v>
      </c>
    </row>
    <row r="36" spans="1:2">
      <c r="A36" s="144" t="s">
        <v>1733</v>
      </c>
      <c r="B36" s="170" t="s">
        <v>1900</v>
      </c>
    </row>
    <row r="37" spans="1:2">
      <c r="A37" s="144" t="s">
        <v>1737</v>
      </c>
      <c r="B37" t="s">
        <v>1898</v>
      </c>
    </row>
    <row r="38" spans="1:2">
      <c r="A38" s="144" t="s">
        <v>1735</v>
      </c>
      <c r="B38" s="144" t="s">
        <v>218</v>
      </c>
    </row>
    <row r="39" spans="1:2">
      <c r="A39" s="144" t="s">
        <v>1736</v>
      </c>
      <c r="B39" s="144" t="s">
        <v>1585</v>
      </c>
    </row>
  </sheetData>
  <mergeCells count="1">
    <mergeCell ref="D7:E7"/>
  </mergeCells>
  <dataValidations count="7">
    <dataValidation type="list" allowBlank="1" showInputMessage="1" showErrorMessage="1" sqref="G3:G23" xr:uid="{BC4CA8F9-4A21-48B9-A037-E95377DD760F}">
      <formula1>$A$1:$A$3</formula1>
    </dataValidation>
    <dataValidation type="list" allowBlank="1" showInputMessage="1" showErrorMessage="1" sqref="K3:K4" xr:uid="{CFAD369D-3E7B-47FA-BF67-CB2A0418EF39}">
      <formula1>$A$4:$A$7</formula1>
    </dataValidation>
    <dataValidation type="list" allowBlank="1" showInputMessage="1" showErrorMessage="1" sqref="N3:N4" xr:uid="{DB650E50-B53D-4917-A6C0-38887E4BD0B5}">
      <formula1>$A$8:$A$17</formula1>
    </dataValidation>
    <dataValidation type="list" allowBlank="1" showInputMessage="1" showErrorMessage="1" sqref="U3:U4" xr:uid="{1A9E5328-251D-4E8C-AB8C-E1D98F9E8CE5}">
      <formula1>$A$18:$A$20</formula1>
    </dataValidation>
    <dataValidation type="list" allowBlank="1" showInputMessage="1" showErrorMessage="1" sqref="Q3:Q4" xr:uid="{82AE2B99-931A-4296-A0DD-53FF7974E857}">
      <formula1>$A$21:$A$39</formula1>
    </dataValidation>
    <dataValidation type="list" allowBlank="1" showInputMessage="1" showErrorMessage="1" sqref="R3:R4" xr:uid="{8E1D1A23-1D82-4B7C-9FE7-AE80578E966E}">
      <formula1>$B$5:$B$11</formula1>
    </dataValidation>
    <dataValidation type="list" allowBlank="1" showInputMessage="1" showErrorMessage="1" sqref="S3:S4" xr:uid="{38E391C3-7599-4520-A462-29A87268079A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F80F-D608-4855-B3FA-81A879EB7D12}">
  <dimension ref="A2:AA39"/>
  <sheetViews>
    <sheetView topLeftCell="D1" zoomScale="61" workbookViewId="0">
      <selection activeCell="E3" sqref="E3:V3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5" width="11.5546875" style="144"/>
    <col min="6" max="6" width="20" style="144" customWidth="1"/>
    <col min="7" max="7" width="21.6640625" style="144" customWidth="1"/>
    <col min="8" max="8" width="18.5546875" style="144" customWidth="1"/>
    <col min="9" max="9" width="32.5546875" style="144" bestFit="1" customWidth="1"/>
    <col min="10" max="10" width="12.6640625" style="144" bestFit="1" customWidth="1"/>
    <col min="11" max="11" width="11.5546875" style="144"/>
    <col min="12" max="12" width="23.6640625" style="144" customWidth="1"/>
    <col min="13" max="13" width="11.5546875" style="144"/>
    <col min="14" max="14" width="18.33203125" style="144" customWidth="1"/>
    <col min="15" max="15" width="12.6640625" style="144" bestFit="1" customWidth="1"/>
    <col min="16" max="16" width="21.88671875" style="144" customWidth="1"/>
    <col min="17" max="17" width="27.6640625" style="144" bestFit="1" customWidth="1"/>
    <col min="18" max="18" width="13.44140625" style="144" customWidth="1"/>
    <col min="19" max="19" width="11.5546875" style="144"/>
    <col min="20" max="20" width="16.33203125" style="144" customWidth="1"/>
    <col min="21" max="21" width="29.664062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54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2">
      <c r="A3" s="144" t="s">
        <v>129</v>
      </c>
      <c r="D3" s="752" t="s">
        <v>2289</v>
      </c>
      <c r="E3" s="753">
        <v>12</v>
      </c>
      <c r="F3" s="755" t="s">
        <v>1570</v>
      </c>
      <c r="G3" s="755" t="s">
        <v>129</v>
      </c>
      <c r="H3" s="884" t="s">
        <v>936</v>
      </c>
      <c r="I3" s="885" t="s">
        <v>937</v>
      </c>
      <c r="J3" s="886">
        <v>43111534</v>
      </c>
      <c r="K3" s="755" t="s">
        <v>1191</v>
      </c>
      <c r="L3" s="765">
        <v>28908</v>
      </c>
      <c r="M3" s="757">
        <f ca="1">DATEDIF(L3,TODAY(),"Y")</f>
        <v>47</v>
      </c>
      <c r="N3" s="755" t="s">
        <v>212</v>
      </c>
      <c r="O3" s="886">
        <v>3005477394</v>
      </c>
      <c r="P3" s="886" t="s">
        <v>938</v>
      </c>
      <c r="Q3" s="755" t="s">
        <v>939</v>
      </c>
      <c r="R3" s="836" t="s">
        <v>164</v>
      </c>
      <c r="S3" s="837" t="s">
        <v>663</v>
      </c>
      <c r="T3" s="835">
        <v>1997</v>
      </c>
      <c r="U3" s="760" t="s">
        <v>166</v>
      </c>
      <c r="V3" s="761" t="s">
        <v>210</v>
      </c>
    </row>
    <row r="4" spans="1:22">
      <c r="D4" s="150"/>
      <c r="E4" s="150">
        <v>12</v>
      </c>
      <c r="F4" s="138" t="s">
        <v>1570</v>
      </c>
      <c r="G4" s="138" t="s">
        <v>129</v>
      </c>
      <c r="H4" s="361" t="s">
        <v>936</v>
      </c>
      <c r="I4" s="362" t="s">
        <v>940</v>
      </c>
      <c r="J4" s="363">
        <v>43043741</v>
      </c>
      <c r="K4" s="138" t="s">
        <v>1191</v>
      </c>
      <c r="L4" s="147">
        <v>22853</v>
      </c>
      <c r="M4" s="158">
        <f ca="1">DATEDIF(L4,TODAY(),"Y")</f>
        <v>63</v>
      </c>
      <c r="N4" s="138" t="s">
        <v>1588</v>
      </c>
      <c r="O4" s="363"/>
      <c r="P4" s="363" t="s">
        <v>941</v>
      </c>
      <c r="Q4" s="138" t="s">
        <v>939</v>
      </c>
      <c r="R4" s="312" t="s">
        <v>333</v>
      </c>
      <c r="S4" s="318" t="s">
        <v>663</v>
      </c>
      <c r="T4" s="324">
        <v>1997</v>
      </c>
      <c r="U4" s="151" t="s">
        <v>160</v>
      </c>
      <c r="V4" s="144" t="s">
        <v>210</v>
      </c>
    </row>
    <row r="5" spans="1:22">
      <c r="A5" s="144" t="s">
        <v>1191</v>
      </c>
      <c r="B5" s="322" t="s">
        <v>333</v>
      </c>
      <c r="D5" s="150"/>
      <c r="E5" s="150">
        <v>12</v>
      </c>
      <c r="F5" s="138" t="s">
        <v>1570</v>
      </c>
      <c r="G5" s="138" t="s">
        <v>129</v>
      </c>
      <c r="H5" s="361" t="s">
        <v>936</v>
      </c>
      <c r="I5" s="362" t="s">
        <v>942</v>
      </c>
      <c r="J5" s="363">
        <v>43522536</v>
      </c>
      <c r="K5" s="138" t="s">
        <v>1191</v>
      </c>
      <c r="L5" s="147">
        <v>24887</v>
      </c>
      <c r="M5" s="158">
        <f t="shared" ref="M5:M11" ca="1" si="0">DATEDIF(L5,TODAY(),"Y")</f>
        <v>58</v>
      </c>
      <c r="N5" s="138" t="s">
        <v>56</v>
      </c>
      <c r="O5" s="363">
        <v>3104055032</v>
      </c>
      <c r="P5" s="364" t="s">
        <v>943</v>
      </c>
      <c r="Q5" s="138" t="s">
        <v>1751</v>
      </c>
      <c r="R5" s="312" t="s">
        <v>891</v>
      </c>
      <c r="S5" s="318" t="s">
        <v>663</v>
      </c>
      <c r="T5" s="324">
        <v>2000</v>
      </c>
      <c r="U5" s="151" t="s">
        <v>160</v>
      </c>
      <c r="V5" s="144" t="s">
        <v>210</v>
      </c>
    </row>
    <row r="6" spans="1:22">
      <c r="A6" s="144" t="s">
        <v>1187</v>
      </c>
      <c r="B6" s="322" t="s">
        <v>164</v>
      </c>
      <c r="D6" s="150"/>
      <c r="E6" s="150">
        <v>12</v>
      </c>
      <c r="F6" s="138" t="s">
        <v>1570</v>
      </c>
      <c r="G6" s="138" t="s">
        <v>129</v>
      </c>
      <c r="H6" s="361" t="s">
        <v>936</v>
      </c>
      <c r="I6" s="362" t="s">
        <v>944</v>
      </c>
      <c r="J6" s="363">
        <v>1152467925</v>
      </c>
      <c r="K6" s="138" t="s">
        <v>1191</v>
      </c>
      <c r="L6" s="147">
        <v>36060</v>
      </c>
      <c r="M6" s="158">
        <f t="shared" ca="1" si="0"/>
        <v>27</v>
      </c>
      <c r="N6" s="138" t="s">
        <v>56</v>
      </c>
      <c r="O6" s="363">
        <v>3015723695</v>
      </c>
      <c r="P6" s="364" t="s">
        <v>945</v>
      </c>
      <c r="Q6" s="138" t="s">
        <v>939</v>
      </c>
      <c r="R6" s="312" t="s">
        <v>333</v>
      </c>
      <c r="S6" s="318" t="s">
        <v>663</v>
      </c>
      <c r="T6" s="324">
        <v>2009</v>
      </c>
      <c r="U6" s="151" t="s">
        <v>160</v>
      </c>
      <c r="V6" s="144" t="s">
        <v>210</v>
      </c>
    </row>
    <row r="7" spans="1:22">
      <c r="A7" s="144" t="s">
        <v>1585</v>
      </c>
      <c r="B7" s="322" t="s">
        <v>321</v>
      </c>
      <c r="D7" s="150"/>
      <c r="E7" s="150">
        <v>12</v>
      </c>
      <c r="F7" s="138" t="s">
        <v>1570</v>
      </c>
      <c r="G7" s="138" t="s">
        <v>129</v>
      </c>
      <c r="H7" s="361" t="s">
        <v>936</v>
      </c>
      <c r="I7" s="361" t="s">
        <v>946</v>
      </c>
      <c r="J7" s="363">
        <v>71612650</v>
      </c>
      <c r="K7" s="138" t="s">
        <v>1187</v>
      </c>
      <c r="L7" s="147">
        <v>22740</v>
      </c>
      <c r="M7" s="158">
        <f t="shared" ca="1" si="0"/>
        <v>64</v>
      </c>
      <c r="N7" s="138" t="s">
        <v>56</v>
      </c>
      <c r="O7" s="363">
        <v>3116795706</v>
      </c>
      <c r="P7" s="363" t="s">
        <v>947</v>
      </c>
      <c r="Q7" s="138" t="s">
        <v>939</v>
      </c>
      <c r="R7" s="312" t="s">
        <v>333</v>
      </c>
      <c r="S7" s="318" t="s">
        <v>663</v>
      </c>
      <c r="T7" s="324">
        <v>2010</v>
      </c>
      <c r="U7" s="151" t="s">
        <v>160</v>
      </c>
      <c r="V7" s="144" t="s">
        <v>210</v>
      </c>
    </row>
    <row r="8" spans="1:22">
      <c r="B8" s="322" t="s">
        <v>192</v>
      </c>
      <c r="D8" s="150"/>
      <c r="E8" s="150">
        <v>12</v>
      </c>
      <c r="F8" s="138" t="s">
        <v>1570</v>
      </c>
      <c r="G8" s="138" t="s">
        <v>129</v>
      </c>
      <c r="H8" s="361" t="s">
        <v>936</v>
      </c>
      <c r="I8" s="361" t="s">
        <v>948</v>
      </c>
      <c r="J8" s="363">
        <v>1128407741</v>
      </c>
      <c r="K8" s="138" t="s">
        <v>1187</v>
      </c>
      <c r="L8" s="147">
        <v>32075</v>
      </c>
      <c r="M8" s="158">
        <f t="shared" ca="1" si="0"/>
        <v>38</v>
      </c>
      <c r="N8" s="138" t="s">
        <v>73</v>
      </c>
      <c r="O8" s="363">
        <v>3008270540</v>
      </c>
      <c r="P8" s="363" t="s">
        <v>949</v>
      </c>
      <c r="Q8" s="138" t="s">
        <v>939</v>
      </c>
      <c r="R8" s="312" t="s">
        <v>164</v>
      </c>
      <c r="S8" s="318" t="s">
        <v>663</v>
      </c>
      <c r="T8" s="324">
        <v>2010</v>
      </c>
      <c r="U8" s="151" t="s">
        <v>160</v>
      </c>
      <c r="V8" s="144" t="s">
        <v>210</v>
      </c>
    </row>
    <row r="9" spans="1:22">
      <c r="A9" s="144" t="s">
        <v>56</v>
      </c>
      <c r="B9" s="322" t="s">
        <v>876</v>
      </c>
      <c r="D9" s="150"/>
      <c r="E9" s="150">
        <v>12</v>
      </c>
      <c r="F9" s="138" t="s">
        <v>1570</v>
      </c>
      <c r="G9" s="138" t="s">
        <v>129</v>
      </c>
      <c r="H9" s="361" t="s">
        <v>936</v>
      </c>
      <c r="I9" s="361" t="s">
        <v>950</v>
      </c>
      <c r="J9" s="363">
        <v>1152201072</v>
      </c>
      <c r="K9" s="138" t="s">
        <v>1187</v>
      </c>
      <c r="L9" s="147">
        <v>34125</v>
      </c>
      <c r="M9" s="158">
        <f t="shared" ca="1" si="0"/>
        <v>32</v>
      </c>
      <c r="N9" s="138" t="s">
        <v>114</v>
      </c>
      <c r="O9" s="363">
        <v>3215518047</v>
      </c>
      <c r="P9" s="363" t="s">
        <v>951</v>
      </c>
      <c r="Q9" s="138" t="s">
        <v>952</v>
      </c>
      <c r="R9" s="312" t="s">
        <v>333</v>
      </c>
      <c r="S9" s="318" t="s">
        <v>663</v>
      </c>
      <c r="T9" s="324">
        <v>2021</v>
      </c>
      <c r="U9" s="151" t="s">
        <v>160</v>
      </c>
      <c r="V9" s="144" t="s">
        <v>210</v>
      </c>
    </row>
    <row r="10" spans="1:22">
      <c r="A10" s="144" t="s">
        <v>212</v>
      </c>
      <c r="B10" s="322" t="s">
        <v>891</v>
      </c>
      <c r="D10" s="150"/>
      <c r="E10" s="150">
        <v>12</v>
      </c>
      <c r="F10" s="138" t="s">
        <v>1570</v>
      </c>
      <c r="G10" s="138" t="s">
        <v>129</v>
      </c>
      <c r="H10" s="361" t="s">
        <v>936</v>
      </c>
      <c r="I10" s="361" t="s">
        <v>953</v>
      </c>
      <c r="J10" s="363">
        <v>1020415712</v>
      </c>
      <c r="K10" s="138" t="s">
        <v>1191</v>
      </c>
      <c r="L10" s="147">
        <v>32257</v>
      </c>
      <c r="M10" s="158">
        <f t="shared" ca="1" si="0"/>
        <v>38</v>
      </c>
      <c r="N10" s="138" t="s">
        <v>56</v>
      </c>
      <c r="O10" s="363">
        <v>3196224453</v>
      </c>
      <c r="P10" s="365" t="s">
        <v>954</v>
      </c>
      <c r="Q10" s="138" t="s">
        <v>1747</v>
      </c>
      <c r="R10" s="312" t="s">
        <v>333</v>
      </c>
      <c r="S10" s="318" t="s">
        <v>230</v>
      </c>
      <c r="T10" s="324">
        <v>2022</v>
      </c>
      <c r="U10" s="151" t="s">
        <v>160</v>
      </c>
      <c r="V10" s="144" t="s">
        <v>210</v>
      </c>
    </row>
    <row r="11" spans="1:22">
      <c r="A11" s="144" t="s">
        <v>73</v>
      </c>
      <c r="B11" s="322" t="s">
        <v>1585</v>
      </c>
      <c r="C11" s="366"/>
      <c r="D11" s="431"/>
      <c r="E11" s="150">
        <v>12</v>
      </c>
      <c r="F11" s="138" t="s">
        <v>1570</v>
      </c>
      <c r="G11" s="138" t="s">
        <v>129</v>
      </c>
      <c r="H11" s="361" t="s">
        <v>936</v>
      </c>
      <c r="I11" s="361" t="s">
        <v>955</v>
      </c>
      <c r="J11" s="363">
        <v>1047421840</v>
      </c>
      <c r="K11" s="138" t="s">
        <v>1187</v>
      </c>
      <c r="L11" s="147">
        <v>33694</v>
      </c>
      <c r="M11" s="158">
        <f t="shared" ca="1" si="0"/>
        <v>34</v>
      </c>
      <c r="N11" s="138" t="s">
        <v>56</v>
      </c>
      <c r="O11" s="363">
        <v>3117134183</v>
      </c>
      <c r="P11" s="362" t="s">
        <v>956</v>
      </c>
      <c r="Q11" s="138" t="s">
        <v>952</v>
      </c>
      <c r="R11" s="312" t="s">
        <v>333</v>
      </c>
      <c r="S11" s="318" t="s">
        <v>1884</v>
      </c>
      <c r="T11" s="324">
        <v>2023</v>
      </c>
      <c r="U11" s="151" t="s">
        <v>160</v>
      </c>
      <c r="V11" s="144" t="s">
        <v>210</v>
      </c>
    </row>
    <row r="12" spans="1:22">
      <c r="A12" s="144" t="s">
        <v>272</v>
      </c>
    </row>
    <row r="13" spans="1:22">
      <c r="A13" s="144" t="s">
        <v>114</v>
      </c>
      <c r="B13" s="367" t="s">
        <v>461</v>
      </c>
    </row>
    <row r="14" spans="1:22">
      <c r="A14" s="144" t="s">
        <v>1586</v>
      </c>
      <c r="B14" s="367" t="s">
        <v>663</v>
      </c>
    </row>
    <row r="15" spans="1:22">
      <c r="A15" s="144" t="s">
        <v>227</v>
      </c>
      <c r="B15" s="367" t="s">
        <v>170</v>
      </c>
    </row>
    <row r="16" spans="1:22">
      <c r="A16" s="144" t="s">
        <v>1587</v>
      </c>
      <c r="B16" s="367" t="s">
        <v>193</v>
      </c>
    </row>
    <row r="17" spans="1:27">
      <c r="A17" s="144" t="s">
        <v>1588</v>
      </c>
      <c r="B17" s="367" t="s">
        <v>1881</v>
      </c>
    </row>
    <row r="18" spans="1:27">
      <c r="B18" s="367" t="s">
        <v>1882</v>
      </c>
    </row>
    <row r="19" spans="1:27">
      <c r="A19" s="144" t="s">
        <v>160</v>
      </c>
      <c r="B19" s="367" t="s">
        <v>405</v>
      </c>
    </row>
    <row r="20" spans="1:27">
      <c r="A20" s="144" t="s">
        <v>166</v>
      </c>
      <c r="B20" s="367" t="s">
        <v>1883</v>
      </c>
      <c r="Z20" s="173"/>
      <c r="AA20" s="173"/>
    </row>
    <row r="21" spans="1:27">
      <c r="B21" s="367" t="s">
        <v>230</v>
      </c>
      <c r="Z21" s="173"/>
      <c r="AA21" s="173"/>
    </row>
    <row r="22" spans="1:27">
      <c r="A22" s="144" t="s">
        <v>1745</v>
      </c>
      <c r="B22" s="367" t="s">
        <v>1884</v>
      </c>
      <c r="C22" s="366"/>
    </row>
    <row r="23" spans="1:27">
      <c r="A23" s="144" t="s">
        <v>1754</v>
      </c>
      <c r="B23" s="367" t="s">
        <v>1885</v>
      </c>
      <c r="C23" s="366"/>
    </row>
    <row r="24" spans="1:27">
      <c r="A24" s="144" t="s">
        <v>1746</v>
      </c>
      <c r="B24" s="367" t="s">
        <v>1886</v>
      </c>
    </row>
    <row r="25" spans="1:27">
      <c r="A25" s="144" t="s">
        <v>1748</v>
      </c>
      <c r="B25" s="367" t="s">
        <v>1887</v>
      </c>
    </row>
    <row r="26" spans="1:27">
      <c r="A26" s="144" t="s">
        <v>1749</v>
      </c>
      <c r="B26" s="367" t="s">
        <v>1888</v>
      </c>
    </row>
    <row r="27" spans="1:27">
      <c r="A27" s="144" t="s">
        <v>1747</v>
      </c>
      <c r="B27" s="367" t="s">
        <v>1889</v>
      </c>
    </row>
    <row r="28" spans="1:27">
      <c r="A28" s="144" t="s">
        <v>1570</v>
      </c>
      <c r="B28" s="367" t="s">
        <v>1890</v>
      </c>
    </row>
    <row r="29" spans="1:27">
      <c r="A29" s="144" t="s">
        <v>1750</v>
      </c>
      <c r="B29" s="367" t="s">
        <v>1891</v>
      </c>
    </row>
    <row r="30" spans="1:27">
      <c r="A30" s="144" t="s">
        <v>1751</v>
      </c>
      <c r="B30" s="367" t="s">
        <v>1892</v>
      </c>
    </row>
    <row r="31" spans="1:27">
      <c r="A31" s="144" t="s">
        <v>1752</v>
      </c>
      <c r="B31" s="367" t="s">
        <v>1893</v>
      </c>
    </row>
    <row r="32" spans="1:27">
      <c r="A32" s="144" t="s">
        <v>939</v>
      </c>
      <c r="B32" s="367" t="s">
        <v>1894</v>
      </c>
    </row>
    <row r="33" spans="1:2">
      <c r="A33" s="144" t="s">
        <v>952</v>
      </c>
      <c r="B33" s="367" t="s">
        <v>1895</v>
      </c>
    </row>
    <row r="34" spans="1:2">
      <c r="A34" s="144" t="s">
        <v>1753</v>
      </c>
      <c r="B34" s="367" t="s">
        <v>1896</v>
      </c>
    </row>
    <row r="35" spans="1:2">
      <c r="B35" s="321" t="s">
        <v>1899</v>
      </c>
    </row>
    <row r="36" spans="1:2">
      <c r="B36" s="321" t="s">
        <v>1900</v>
      </c>
    </row>
    <row r="37" spans="1:2">
      <c r="B37" s="322" t="s">
        <v>1898</v>
      </c>
    </row>
    <row r="38" spans="1:2">
      <c r="B38" s="144" t="s">
        <v>218</v>
      </c>
    </row>
    <row r="39" spans="1:2">
      <c r="B39" s="144" t="s">
        <v>1585</v>
      </c>
    </row>
  </sheetData>
  <dataValidations count="7">
    <dataValidation type="list" allowBlank="1" showInputMessage="1" showErrorMessage="1" sqref="U3:U11" xr:uid="{D6CBC705-3623-47B7-B2C9-EDBE565033F2}">
      <formula1>$A$18:$A$20</formula1>
    </dataValidation>
    <dataValidation type="list" allowBlank="1" showInputMessage="1" showErrorMessage="1" sqref="N3:N11" xr:uid="{87738148-5B97-45CC-8299-48C01E788FBC}">
      <formula1>$A$8:$A$17</formula1>
    </dataValidation>
    <dataValidation type="list" allowBlank="1" showInputMessage="1" showErrorMessage="1" sqref="K3:K11" xr:uid="{504A429B-A9F7-4357-8C94-EE30EC7924BB}">
      <formula1>$A$4:$A$7</formula1>
    </dataValidation>
    <dataValidation type="list" allowBlank="1" showInputMessage="1" showErrorMessage="1" sqref="G3:G11" xr:uid="{56749C24-3F2D-465A-8AF3-1729C44BF552}">
      <formula1>$A$1:$A$3</formula1>
    </dataValidation>
    <dataValidation type="list" allowBlank="1" showInputMessage="1" showErrorMessage="1" sqref="Q3:Q11" xr:uid="{B184C7A4-778D-458B-94C0-3EAF0DF698A2}">
      <formula1>$A$21:$A$34</formula1>
    </dataValidation>
    <dataValidation type="list" allowBlank="1" showInputMessage="1" showErrorMessage="1" sqref="R3:R11" xr:uid="{719301C8-B856-487B-BC55-D5A0D2037390}">
      <formula1>$B$5:$B$11</formula1>
    </dataValidation>
    <dataValidation type="list" allowBlank="1" showInputMessage="1" showErrorMessage="1" sqref="S3:S11" xr:uid="{D76C426C-2D25-477A-A711-6AAE2A6B334A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3A01-F040-4D82-B403-C5A0F1B91FEC}">
  <dimension ref="A2:Z40"/>
  <sheetViews>
    <sheetView topLeftCell="H1" zoomScale="73" zoomScaleNormal="82" workbookViewId="0">
      <selection activeCell="E3" sqref="E3:V14"/>
    </sheetView>
  </sheetViews>
  <sheetFormatPr baseColWidth="10" defaultColWidth="11.5546875" defaultRowHeight="14.4"/>
  <cols>
    <col min="1" max="1" width="22.6640625" style="144" hidden="1" customWidth="1"/>
    <col min="2" max="3" width="22.6640625" style="144" customWidth="1"/>
    <col min="4" max="4" width="11.5546875" style="144" customWidth="1"/>
    <col min="5" max="5" width="11.6640625" style="144" bestFit="1" customWidth="1"/>
    <col min="6" max="6" width="18.88671875" style="144" customWidth="1"/>
    <col min="7" max="7" width="16.44140625" style="144" customWidth="1"/>
    <col min="8" max="8" width="24.33203125" style="144" customWidth="1"/>
    <col min="9" max="9" width="40.21875" style="144" customWidth="1"/>
    <col min="10" max="10" width="11.5546875" style="144"/>
    <col min="11" max="11" width="20.6640625" style="144" customWidth="1"/>
    <col min="12" max="12" width="11.6640625" style="144" bestFit="1" customWidth="1"/>
    <col min="13" max="13" width="15.44140625" style="144" customWidth="1"/>
    <col min="14" max="14" width="12.109375" style="144" bestFit="1" customWidth="1"/>
    <col min="15" max="15" width="18.6640625" style="144" customWidth="1"/>
    <col min="16" max="16" width="11.5546875" style="144"/>
    <col min="17" max="17" width="29.44140625" style="144" customWidth="1"/>
    <col min="18" max="18" width="11.5546875" style="144"/>
    <col min="19" max="19" width="25.33203125" style="144" customWidth="1"/>
    <col min="20" max="20" width="25.6640625" style="144" customWidth="1"/>
    <col min="21" max="30" width="11.5546875" style="144"/>
    <col min="31" max="31" width="12.109375" style="144" bestFit="1" customWidth="1"/>
    <col min="32" max="32" width="11.5546875" style="144"/>
    <col min="33" max="33" width="11.6640625" style="144" bestFit="1" customWidth="1"/>
    <col min="34" max="35" width="11.5546875" style="144"/>
    <col min="36" max="36" width="12.109375" style="144" bestFit="1" customWidth="1"/>
    <col min="37" max="42" width="11.5546875" style="144"/>
    <col min="43" max="43" width="11.6640625" style="144" bestFit="1" customWidth="1"/>
    <col min="44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711" t="s">
        <v>1854</v>
      </c>
      <c r="G2" s="711" t="s">
        <v>1584</v>
      </c>
      <c r="H2" s="711" t="s">
        <v>418</v>
      </c>
      <c r="I2" s="711" t="s">
        <v>1410</v>
      </c>
      <c r="J2" s="711" t="s">
        <v>5</v>
      </c>
      <c r="K2" s="711" t="s">
        <v>6</v>
      </c>
      <c r="L2" s="711" t="s">
        <v>7</v>
      </c>
      <c r="M2" s="711" t="s">
        <v>8</v>
      </c>
      <c r="N2" s="711" t="s">
        <v>9</v>
      </c>
      <c r="O2" s="711" t="s">
        <v>1589</v>
      </c>
      <c r="P2" s="711" t="s">
        <v>11</v>
      </c>
      <c r="Q2" s="711" t="s">
        <v>12</v>
      </c>
      <c r="R2" s="711" t="s">
        <v>14</v>
      </c>
      <c r="S2" s="711" t="s">
        <v>16</v>
      </c>
      <c r="T2" s="711" t="s">
        <v>1590</v>
      </c>
      <c r="U2" s="712" t="s">
        <v>18</v>
      </c>
      <c r="V2" s="730" t="s">
        <v>20</v>
      </c>
    </row>
    <row r="3" spans="1:22">
      <c r="A3" s="144" t="s">
        <v>129</v>
      </c>
      <c r="D3" s="824" t="s">
        <v>2289</v>
      </c>
      <c r="E3" s="755">
        <v>13</v>
      </c>
      <c r="F3" s="754" t="s">
        <v>1571</v>
      </c>
      <c r="G3" s="814" t="s">
        <v>129</v>
      </c>
      <c r="H3" s="887" t="s">
        <v>957</v>
      </c>
      <c r="I3" s="887" t="s">
        <v>958</v>
      </c>
      <c r="J3" s="887">
        <v>1036670281</v>
      </c>
      <c r="K3" s="814" t="s">
        <v>1191</v>
      </c>
      <c r="L3" s="888">
        <v>35427</v>
      </c>
      <c r="M3" s="889">
        <f t="shared" ref="M3:M18" ca="1" si="0">DATEDIF(L3,TODAY(),"Y")</f>
        <v>29</v>
      </c>
      <c r="N3" s="814" t="s">
        <v>1588</v>
      </c>
      <c r="O3" s="887">
        <v>3243938522</v>
      </c>
      <c r="P3" s="887" t="s">
        <v>959</v>
      </c>
      <c r="Q3" s="814" t="s">
        <v>1387</v>
      </c>
      <c r="R3" s="890" t="s">
        <v>164</v>
      </c>
      <c r="S3" s="891" t="s">
        <v>1585</v>
      </c>
      <c r="T3" s="887">
        <v>2023</v>
      </c>
      <c r="U3" s="892" t="s">
        <v>166</v>
      </c>
      <c r="V3" s="893" t="s">
        <v>210</v>
      </c>
    </row>
    <row r="4" spans="1:22">
      <c r="D4" s="289"/>
      <c r="E4" s="200">
        <v>13</v>
      </c>
      <c r="F4" s="203" t="s">
        <v>1571</v>
      </c>
      <c r="G4" s="715" t="s">
        <v>129</v>
      </c>
      <c r="H4" s="716" t="s">
        <v>957</v>
      </c>
      <c r="I4" s="716" t="s">
        <v>960</v>
      </c>
      <c r="J4" s="716">
        <v>98483887</v>
      </c>
      <c r="K4" s="715" t="s">
        <v>1187</v>
      </c>
      <c r="L4" s="717">
        <v>25880</v>
      </c>
      <c r="M4" s="718">
        <f t="shared" ca="1" si="0"/>
        <v>55</v>
      </c>
      <c r="N4" s="715" t="s">
        <v>1588</v>
      </c>
      <c r="O4" s="716">
        <v>3148427186</v>
      </c>
      <c r="P4" s="716" t="s">
        <v>959</v>
      </c>
      <c r="Q4" s="715" t="s">
        <v>1387</v>
      </c>
      <c r="R4" s="719" t="s">
        <v>164</v>
      </c>
      <c r="S4" s="720" t="s">
        <v>1585</v>
      </c>
      <c r="T4" s="716">
        <v>2020</v>
      </c>
      <c r="U4" s="721" t="s">
        <v>160</v>
      </c>
      <c r="V4" s="722" t="s">
        <v>210</v>
      </c>
    </row>
    <row r="5" spans="1:22">
      <c r="A5" s="144" t="s">
        <v>1191</v>
      </c>
      <c r="B5" s="144" t="s">
        <v>333</v>
      </c>
      <c r="D5" s="289"/>
      <c r="E5" s="200">
        <v>13</v>
      </c>
      <c r="F5" s="203" t="s">
        <v>1571</v>
      </c>
      <c r="G5" s="715" t="s">
        <v>129</v>
      </c>
      <c r="H5" s="716" t="s">
        <v>957</v>
      </c>
      <c r="I5" s="716" t="s">
        <v>961</v>
      </c>
      <c r="J5" s="716">
        <v>43703826</v>
      </c>
      <c r="K5" s="715" t="s">
        <v>1191</v>
      </c>
      <c r="L5" s="717">
        <v>26935</v>
      </c>
      <c r="M5" s="718">
        <f t="shared" ca="1" si="0"/>
        <v>52</v>
      </c>
      <c r="N5" s="715" t="s">
        <v>1588</v>
      </c>
      <c r="O5" s="716">
        <v>3104327881</v>
      </c>
      <c r="P5" s="723" t="s">
        <v>959</v>
      </c>
      <c r="Q5" s="715" t="s">
        <v>1387</v>
      </c>
      <c r="R5" s="719" t="s">
        <v>891</v>
      </c>
      <c r="S5" s="720" t="s">
        <v>1585</v>
      </c>
      <c r="T5" s="716">
        <v>2020</v>
      </c>
      <c r="U5" s="721" t="s">
        <v>160</v>
      </c>
      <c r="V5" s="722" t="s">
        <v>210</v>
      </c>
    </row>
    <row r="6" spans="1:22">
      <c r="A6" s="144" t="s">
        <v>1187</v>
      </c>
      <c r="B6" s="144" t="s">
        <v>164</v>
      </c>
      <c r="D6" s="289"/>
      <c r="E6" s="200">
        <v>13</v>
      </c>
      <c r="F6" s="203" t="s">
        <v>1571</v>
      </c>
      <c r="G6" s="715" t="s">
        <v>129</v>
      </c>
      <c r="H6" s="716" t="s">
        <v>957</v>
      </c>
      <c r="I6" s="716" t="s">
        <v>962</v>
      </c>
      <c r="J6" s="716">
        <v>1020110474</v>
      </c>
      <c r="K6" s="715" t="s">
        <v>1187</v>
      </c>
      <c r="L6" s="717">
        <v>38844</v>
      </c>
      <c r="M6" s="718">
        <f t="shared" ca="1" si="0"/>
        <v>20</v>
      </c>
      <c r="N6" s="715" t="s">
        <v>1588</v>
      </c>
      <c r="O6" s="716">
        <v>3054558056</v>
      </c>
      <c r="P6" s="723" t="s">
        <v>963</v>
      </c>
      <c r="Q6" s="715" t="s">
        <v>1387</v>
      </c>
      <c r="R6" s="719" t="s">
        <v>192</v>
      </c>
      <c r="S6" s="720" t="s">
        <v>1585</v>
      </c>
      <c r="T6" s="716">
        <v>2018</v>
      </c>
      <c r="U6" s="721" t="s">
        <v>160</v>
      </c>
      <c r="V6" s="722" t="s">
        <v>210</v>
      </c>
    </row>
    <row r="7" spans="1:22">
      <c r="A7" s="144" t="s">
        <v>1585</v>
      </c>
      <c r="B7" s="144" t="s">
        <v>321</v>
      </c>
      <c r="D7" s="289"/>
      <c r="E7" s="200">
        <v>13</v>
      </c>
      <c r="F7" s="203" t="s">
        <v>1571</v>
      </c>
      <c r="G7" s="715" t="s">
        <v>129</v>
      </c>
      <c r="H7" s="716" t="s">
        <v>957</v>
      </c>
      <c r="I7" s="716" t="s">
        <v>964</v>
      </c>
      <c r="J7" s="716">
        <v>108943064</v>
      </c>
      <c r="K7" s="715" t="s">
        <v>1191</v>
      </c>
      <c r="L7" s="717">
        <v>39021</v>
      </c>
      <c r="M7" s="718">
        <f t="shared" ca="1" si="0"/>
        <v>19</v>
      </c>
      <c r="N7" s="715" t="s">
        <v>1588</v>
      </c>
      <c r="O7" s="716">
        <v>3135009165</v>
      </c>
      <c r="P7" s="716" t="s">
        <v>965</v>
      </c>
      <c r="Q7" s="715" t="s">
        <v>1387</v>
      </c>
      <c r="R7" s="719" t="s">
        <v>333</v>
      </c>
      <c r="S7" s="720" t="s">
        <v>1585</v>
      </c>
      <c r="T7" s="716"/>
      <c r="U7" s="721" t="s">
        <v>160</v>
      </c>
      <c r="V7" s="722" t="s">
        <v>210</v>
      </c>
    </row>
    <row r="8" spans="1:22">
      <c r="B8" s="144" t="s">
        <v>192</v>
      </c>
      <c r="D8" s="289"/>
      <c r="E8" s="200">
        <v>13</v>
      </c>
      <c r="F8" s="203" t="s">
        <v>1571</v>
      </c>
      <c r="G8" s="715" t="s">
        <v>129</v>
      </c>
      <c r="H8" s="716" t="s">
        <v>957</v>
      </c>
      <c r="I8" s="716" t="s">
        <v>966</v>
      </c>
      <c r="J8" s="716">
        <v>18517854</v>
      </c>
      <c r="K8" s="715" t="s">
        <v>1187</v>
      </c>
      <c r="L8" s="717">
        <v>31029</v>
      </c>
      <c r="M8" s="718">
        <f t="shared" ca="1" si="0"/>
        <v>41</v>
      </c>
      <c r="N8" s="715" t="s">
        <v>1588</v>
      </c>
      <c r="O8" s="716">
        <v>3136925137</v>
      </c>
      <c r="P8" s="716" t="s">
        <v>967</v>
      </c>
      <c r="Q8" s="715" t="s">
        <v>1387</v>
      </c>
      <c r="R8" s="719" t="s">
        <v>164</v>
      </c>
      <c r="S8" s="720" t="s">
        <v>1585</v>
      </c>
      <c r="T8" s="716">
        <v>2024</v>
      </c>
      <c r="U8" s="721" t="s">
        <v>160</v>
      </c>
      <c r="V8" s="722" t="s">
        <v>210</v>
      </c>
    </row>
    <row r="9" spans="1:22">
      <c r="A9" s="144" t="s">
        <v>56</v>
      </c>
      <c r="B9" s="144" t="s">
        <v>876</v>
      </c>
      <c r="D9" s="289"/>
      <c r="E9" s="200">
        <v>13</v>
      </c>
      <c r="F9" s="203" t="s">
        <v>1571</v>
      </c>
      <c r="G9" s="715" t="s">
        <v>129</v>
      </c>
      <c r="H9" s="716" t="s">
        <v>957</v>
      </c>
      <c r="I9" s="716" t="s">
        <v>968</v>
      </c>
      <c r="J9" s="716">
        <v>1000206236</v>
      </c>
      <c r="K9" s="715" t="s">
        <v>1191</v>
      </c>
      <c r="L9" s="717">
        <v>37932</v>
      </c>
      <c r="M9" s="718">
        <f t="shared" ca="1" si="0"/>
        <v>22</v>
      </c>
      <c r="N9" s="715" t="s">
        <v>1588</v>
      </c>
      <c r="O9" s="716">
        <v>3128029844</v>
      </c>
      <c r="P9" s="716" t="s">
        <v>969</v>
      </c>
      <c r="Q9" s="715" t="s">
        <v>1387</v>
      </c>
      <c r="R9" s="719" t="s">
        <v>192</v>
      </c>
      <c r="S9" s="720" t="s">
        <v>1585</v>
      </c>
      <c r="T9" s="716">
        <v>2020</v>
      </c>
      <c r="U9" s="721" t="s">
        <v>160</v>
      </c>
      <c r="V9" s="722" t="s">
        <v>210</v>
      </c>
    </row>
    <row r="10" spans="1:22">
      <c r="A10" s="144" t="s">
        <v>212</v>
      </c>
      <c r="B10" s="144" t="s">
        <v>891</v>
      </c>
      <c r="D10" s="289"/>
      <c r="E10" s="200">
        <v>13</v>
      </c>
      <c r="F10" s="203" t="s">
        <v>1571</v>
      </c>
      <c r="G10" s="715" t="s">
        <v>129</v>
      </c>
      <c r="H10" s="716" t="s">
        <v>957</v>
      </c>
      <c r="I10" s="716" t="s">
        <v>970</v>
      </c>
      <c r="J10" s="716">
        <v>1017234959</v>
      </c>
      <c r="K10" s="715" t="s">
        <v>1187</v>
      </c>
      <c r="L10" s="717">
        <v>35054</v>
      </c>
      <c r="M10" s="718">
        <f t="shared" ca="1" si="0"/>
        <v>30</v>
      </c>
      <c r="N10" s="715" t="s">
        <v>1588</v>
      </c>
      <c r="O10" s="716">
        <v>3207992322</v>
      </c>
      <c r="P10" s="724" t="s">
        <v>971</v>
      </c>
      <c r="Q10" s="715" t="s">
        <v>1387</v>
      </c>
      <c r="R10" s="719" t="s">
        <v>333</v>
      </c>
      <c r="S10" s="720" t="s">
        <v>1585</v>
      </c>
      <c r="T10" s="716">
        <v>2020</v>
      </c>
      <c r="U10" s="721" t="s">
        <v>160</v>
      </c>
      <c r="V10" s="722" t="s">
        <v>210</v>
      </c>
    </row>
    <row r="11" spans="1:22">
      <c r="A11" s="144" t="s">
        <v>73</v>
      </c>
      <c r="B11" s="144" t="s">
        <v>1585</v>
      </c>
      <c r="D11" s="289"/>
      <c r="E11" s="200">
        <v>13</v>
      </c>
      <c r="F11" s="203" t="s">
        <v>1571</v>
      </c>
      <c r="G11" s="715" t="s">
        <v>129</v>
      </c>
      <c r="H11" s="716" t="s">
        <v>957</v>
      </c>
      <c r="I11" s="716" t="s">
        <v>972</v>
      </c>
      <c r="J11" s="716">
        <v>1023626671</v>
      </c>
      <c r="K11" s="715" t="s">
        <v>1191</v>
      </c>
      <c r="L11" s="717">
        <v>38449</v>
      </c>
      <c r="M11" s="718">
        <f t="shared" ca="1" si="0"/>
        <v>21</v>
      </c>
      <c r="N11" s="715" t="s">
        <v>1588</v>
      </c>
      <c r="O11" s="716">
        <v>3113445933</v>
      </c>
      <c r="P11" s="716" t="s">
        <v>973</v>
      </c>
      <c r="Q11" s="715" t="s">
        <v>1387</v>
      </c>
      <c r="R11" s="719" t="s">
        <v>333</v>
      </c>
      <c r="S11" s="720" t="s">
        <v>1585</v>
      </c>
      <c r="T11" s="716">
        <v>2020</v>
      </c>
      <c r="U11" s="721" t="s">
        <v>160</v>
      </c>
      <c r="V11" s="722" t="s">
        <v>210</v>
      </c>
    </row>
    <row r="12" spans="1:22">
      <c r="A12" s="144" t="s">
        <v>272</v>
      </c>
      <c r="D12" s="289"/>
      <c r="E12" s="200">
        <v>13</v>
      </c>
      <c r="F12" s="203" t="s">
        <v>1571</v>
      </c>
      <c r="G12" s="715" t="s">
        <v>129</v>
      </c>
      <c r="H12" s="716" t="s">
        <v>957</v>
      </c>
      <c r="I12" s="716" t="s">
        <v>974</v>
      </c>
      <c r="J12" s="716">
        <v>71779280</v>
      </c>
      <c r="K12" s="715" t="s">
        <v>1187</v>
      </c>
      <c r="L12" s="717">
        <v>28131</v>
      </c>
      <c r="M12" s="718">
        <f t="shared" ca="1" si="0"/>
        <v>49</v>
      </c>
      <c r="N12" s="715" t="s">
        <v>1588</v>
      </c>
      <c r="O12" s="716">
        <v>3127721768</v>
      </c>
      <c r="P12" s="724" t="s">
        <v>959</v>
      </c>
      <c r="Q12" s="715" t="s">
        <v>1387</v>
      </c>
      <c r="R12" s="719" t="s">
        <v>164</v>
      </c>
      <c r="S12" s="720" t="s">
        <v>1585</v>
      </c>
      <c r="T12" s="716"/>
      <c r="U12" s="721" t="s">
        <v>160</v>
      </c>
      <c r="V12" s="722" t="s">
        <v>210</v>
      </c>
    </row>
    <row r="13" spans="1:22">
      <c r="A13" s="144" t="s">
        <v>114</v>
      </c>
      <c r="B13" s="325" t="s">
        <v>461</v>
      </c>
      <c r="C13" s="325"/>
      <c r="D13" s="289"/>
      <c r="E13" s="200">
        <v>13</v>
      </c>
      <c r="F13" s="203" t="s">
        <v>1571</v>
      </c>
      <c r="G13" s="715" t="s">
        <v>129</v>
      </c>
      <c r="H13" s="716" t="s">
        <v>957</v>
      </c>
      <c r="I13" s="716" t="s">
        <v>975</v>
      </c>
      <c r="J13" s="716">
        <v>1013338317</v>
      </c>
      <c r="K13" s="715" t="s">
        <v>1191</v>
      </c>
      <c r="L13" s="717">
        <v>38353</v>
      </c>
      <c r="M13" s="718">
        <f t="shared" ca="1" si="0"/>
        <v>21</v>
      </c>
      <c r="N13" s="715" t="s">
        <v>1588</v>
      </c>
      <c r="O13" s="716">
        <v>3012775199</v>
      </c>
      <c r="P13" s="716" t="s">
        <v>976</v>
      </c>
      <c r="Q13" s="715" t="s">
        <v>1387</v>
      </c>
      <c r="R13" s="719" t="s">
        <v>164</v>
      </c>
      <c r="S13" s="720" t="s">
        <v>1585</v>
      </c>
      <c r="T13" s="716">
        <v>2005</v>
      </c>
      <c r="U13" s="721" t="s">
        <v>160</v>
      </c>
      <c r="V13" s="722" t="s">
        <v>210</v>
      </c>
    </row>
    <row r="14" spans="1:22">
      <c r="A14" s="144" t="s">
        <v>1586</v>
      </c>
      <c r="B14" s="325" t="s">
        <v>663</v>
      </c>
      <c r="C14" s="325"/>
      <c r="D14" s="824" t="s">
        <v>2289</v>
      </c>
      <c r="E14" s="755">
        <v>13</v>
      </c>
      <c r="F14" s="754" t="s">
        <v>1571</v>
      </c>
      <c r="G14" s="814" t="s">
        <v>129</v>
      </c>
      <c r="H14" s="887" t="s">
        <v>1548</v>
      </c>
      <c r="I14" s="887" t="s">
        <v>977</v>
      </c>
      <c r="J14" s="887">
        <v>15486987</v>
      </c>
      <c r="K14" s="814" t="s">
        <v>1187</v>
      </c>
      <c r="L14" s="888">
        <v>26390</v>
      </c>
      <c r="M14" s="889">
        <f t="shared" ca="1" si="0"/>
        <v>54</v>
      </c>
      <c r="N14" s="814" t="s">
        <v>1588</v>
      </c>
      <c r="O14" s="887">
        <v>3168717977</v>
      </c>
      <c r="P14" s="887"/>
      <c r="Q14" s="814" t="s">
        <v>1764</v>
      </c>
      <c r="R14" s="890" t="s">
        <v>164</v>
      </c>
      <c r="S14" s="891" t="s">
        <v>1585</v>
      </c>
      <c r="T14" s="887">
        <v>2012</v>
      </c>
      <c r="U14" s="892" t="s">
        <v>166</v>
      </c>
      <c r="V14" s="893" t="s">
        <v>210</v>
      </c>
    </row>
    <row r="15" spans="1:22">
      <c r="A15" s="144" t="s">
        <v>227</v>
      </c>
      <c r="B15" s="325" t="s">
        <v>170</v>
      </c>
      <c r="C15" s="325"/>
      <c r="D15" s="289"/>
      <c r="E15" s="195">
        <v>13</v>
      </c>
      <c r="F15" s="204" t="s">
        <v>1571</v>
      </c>
      <c r="G15" s="709" t="s">
        <v>129</v>
      </c>
      <c r="H15" s="725" t="s">
        <v>1548</v>
      </c>
      <c r="I15" s="725" t="s">
        <v>978</v>
      </c>
      <c r="J15" s="725">
        <v>15611571</v>
      </c>
      <c r="K15" s="709" t="s">
        <v>1191</v>
      </c>
      <c r="L15" s="726">
        <v>25083</v>
      </c>
      <c r="M15" s="727">
        <f t="shared" ca="1" si="0"/>
        <v>57</v>
      </c>
      <c r="N15" s="709" t="s">
        <v>1588</v>
      </c>
      <c r="O15" s="725">
        <v>3122220722</v>
      </c>
      <c r="P15" s="725" t="s">
        <v>979</v>
      </c>
      <c r="Q15" s="709" t="s">
        <v>1764</v>
      </c>
      <c r="R15" s="713" t="s">
        <v>164</v>
      </c>
      <c r="S15" s="714" t="s">
        <v>1585</v>
      </c>
      <c r="T15" s="725">
        <v>2012</v>
      </c>
      <c r="U15" s="728" t="s">
        <v>160</v>
      </c>
      <c r="V15" s="722" t="s">
        <v>210</v>
      </c>
    </row>
    <row r="16" spans="1:22">
      <c r="A16" s="144" t="s">
        <v>1587</v>
      </c>
      <c r="B16" s="325" t="s">
        <v>193</v>
      </c>
      <c r="C16" s="325"/>
      <c r="D16" s="289"/>
      <c r="E16" s="195">
        <v>13</v>
      </c>
      <c r="F16" s="204" t="s">
        <v>1571</v>
      </c>
      <c r="G16" s="709" t="s">
        <v>129</v>
      </c>
      <c r="H16" s="725" t="s">
        <v>1548</v>
      </c>
      <c r="I16" s="725" t="s">
        <v>980</v>
      </c>
      <c r="J16" s="725">
        <v>4278441</v>
      </c>
      <c r="K16" s="709" t="s">
        <v>1187</v>
      </c>
      <c r="L16" s="726">
        <v>25756</v>
      </c>
      <c r="M16" s="727">
        <f t="shared" ca="1" si="0"/>
        <v>55</v>
      </c>
      <c r="N16" s="709" t="s">
        <v>1588</v>
      </c>
      <c r="O16" s="725">
        <v>3192983197</v>
      </c>
      <c r="P16" s="725" t="s">
        <v>981</v>
      </c>
      <c r="Q16" s="709" t="s">
        <v>1764</v>
      </c>
      <c r="R16" s="713" t="s">
        <v>891</v>
      </c>
      <c r="S16" s="714" t="s">
        <v>1585</v>
      </c>
      <c r="T16" s="725">
        <v>2012</v>
      </c>
      <c r="U16" s="728" t="s">
        <v>160</v>
      </c>
      <c r="V16" s="722" t="s">
        <v>210</v>
      </c>
    </row>
    <row r="17" spans="1:26">
      <c r="A17" s="144" t="s">
        <v>1588</v>
      </c>
      <c r="B17" s="325" t="s">
        <v>1881</v>
      </c>
      <c r="C17" s="325"/>
      <c r="D17" s="289"/>
      <c r="E17" s="195">
        <v>13</v>
      </c>
      <c r="F17" s="204" t="s">
        <v>1571</v>
      </c>
      <c r="G17" s="709" t="s">
        <v>129</v>
      </c>
      <c r="H17" s="725" t="s">
        <v>1548</v>
      </c>
      <c r="I17" s="725" t="s">
        <v>982</v>
      </c>
      <c r="J17" s="725">
        <v>21553418</v>
      </c>
      <c r="K17" s="709" t="s">
        <v>1191</v>
      </c>
      <c r="L17" s="726">
        <v>27216</v>
      </c>
      <c r="M17" s="727">
        <f t="shared" ca="1" si="0"/>
        <v>51</v>
      </c>
      <c r="N17" s="709" t="s">
        <v>1588</v>
      </c>
      <c r="O17" s="725">
        <v>3184092525</v>
      </c>
      <c r="P17" s="725" t="s">
        <v>983</v>
      </c>
      <c r="Q17" s="709" t="s">
        <v>1764</v>
      </c>
      <c r="R17" s="713" t="s">
        <v>164</v>
      </c>
      <c r="S17" s="714" t="s">
        <v>1585</v>
      </c>
      <c r="T17" s="725">
        <v>2012</v>
      </c>
      <c r="U17" s="728" t="s">
        <v>160</v>
      </c>
      <c r="V17" s="722" t="s">
        <v>210</v>
      </c>
    </row>
    <row r="18" spans="1:26">
      <c r="B18" s="325" t="s">
        <v>1882</v>
      </c>
      <c r="C18" s="325"/>
      <c r="D18" s="289"/>
      <c r="E18" s="195">
        <v>13</v>
      </c>
      <c r="F18" s="204" t="s">
        <v>1571</v>
      </c>
      <c r="G18" s="709" t="s">
        <v>129</v>
      </c>
      <c r="H18" s="725" t="s">
        <v>1548</v>
      </c>
      <c r="I18" s="725" t="s">
        <v>984</v>
      </c>
      <c r="J18" s="725">
        <v>98586660</v>
      </c>
      <c r="K18" s="709" t="s">
        <v>1187</v>
      </c>
      <c r="L18" s="726">
        <v>25607</v>
      </c>
      <c r="M18" s="727">
        <f t="shared" ca="1" si="0"/>
        <v>56</v>
      </c>
      <c r="N18" s="709" t="s">
        <v>1588</v>
      </c>
      <c r="O18" s="725">
        <v>3225424559</v>
      </c>
      <c r="P18" s="725" t="s">
        <v>985</v>
      </c>
      <c r="Q18" s="709" t="s">
        <v>1764</v>
      </c>
      <c r="R18" s="713" t="s">
        <v>164</v>
      </c>
      <c r="S18" s="714" t="s">
        <v>1585</v>
      </c>
      <c r="T18" s="725">
        <v>2012</v>
      </c>
      <c r="U18" s="728" t="s">
        <v>160</v>
      </c>
      <c r="V18" s="729" t="s">
        <v>210</v>
      </c>
    </row>
    <row r="19" spans="1:26">
      <c r="A19" s="144" t="s">
        <v>160</v>
      </c>
      <c r="B19" s="325" t="s">
        <v>405</v>
      </c>
      <c r="C19" s="325"/>
    </row>
    <row r="20" spans="1:26">
      <c r="A20" s="144" t="s">
        <v>166</v>
      </c>
      <c r="B20" s="325" t="s">
        <v>1883</v>
      </c>
      <c r="C20" s="325"/>
      <c r="Y20" s="173"/>
      <c r="Z20" s="173"/>
    </row>
    <row r="21" spans="1:26">
      <c r="B21" s="325" t="s">
        <v>230</v>
      </c>
      <c r="C21" s="325"/>
      <c r="Y21" s="173"/>
      <c r="Z21" s="173"/>
    </row>
    <row r="22" spans="1:26">
      <c r="A22" s="144" t="s">
        <v>1755</v>
      </c>
      <c r="B22" s="325" t="s">
        <v>1884</v>
      </c>
      <c r="C22" s="325"/>
    </row>
    <row r="23" spans="1:26">
      <c r="A23" s="144" t="s">
        <v>1756</v>
      </c>
      <c r="B23" s="325" t="s">
        <v>1885</v>
      </c>
      <c r="C23" s="325"/>
    </row>
    <row r="24" spans="1:26">
      <c r="A24" s="144" t="s">
        <v>1757</v>
      </c>
      <c r="B24" s="325" t="s">
        <v>1886</v>
      </c>
      <c r="C24" s="325"/>
    </row>
    <row r="25" spans="1:26">
      <c r="A25" s="144" t="s">
        <v>1758</v>
      </c>
      <c r="B25" s="325" t="s">
        <v>1887</v>
      </c>
      <c r="C25" s="325"/>
    </row>
    <row r="26" spans="1:26">
      <c r="A26" s="144" t="s">
        <v>1759</v>
      </c>
      <c r="B26" s="325" t="s">
        <v>1888</v>
      </c>
      <c r="C26" s="325"/>
    </row>
    <row r="27" spans="1:26">
      <c r="A27" s="144" t="s">
        <v>1760</v>
      </c>
      <c r="B27" s="325" t="s">
        <v>1889</v>
      </c>
      <c r="C27" s="325"/>
    </row>
    <row r="28" spans="1:26">
      <c r="A28" s="144" t="s">
        <v>1761</v>
      </c>
      <c r="B28" s="325" t="s">
        <v>1890</v>
      </c>
      <c r="C28" s="325"/>
    </row>
    <row r="29" spans="1:26">
      <c r="A29" s="144" t="s">
        <v>1762</v>
      </c>
      <c r="B29" s="325" t="s">
        <v>1891</v>
      </c>
      <c r="C29" s="325"/>
    </row>
    <row r="30" spans="1:26">
      <c r="A30" s="144" t="s">
        <v>1763</v>
      </c>
      <c r="B30" s="325" t="s">
        <v>1892</v>
      </c>
      <c r="C30" s="325"/>
    </row>
    <row r="31" spans="1:26">
      <c r="A31" s="144" t="s">
        <v>1764</v>
      </c>
      <c r="B31" s="325" t="s">
        <v>1893</v>
      </c>
      <c r="C31" s="325"/>
    </row>
    <row r="32" spans="1:26">
      <c r="A32" s="144" t="s">
        <v>1765</v>
      </c>
      <c r="B32" s="325" t="s">
        <v>1894</v>
      </c>
      <c r="C32" s="325"/>
    </row>
    <row r="33" spans="1:3">
      <c r="A33" s="144" t="s">
        <v>1766</v>
      </c>
      <c r="B33" s="325" t="s">
        <v>1895</v>
      </c>
      <c r="C33" s="325"/>
    </row>
    <row r="34" spans="1:3">
      <c r="A34" s="144" t="s">
        <v>1767</v>
      </c>
      <c r="B34" s="325" t="s">
        <v>1896</v>
      </c>
      <c r="C34" s="325"/>
    </row>
    <row r="35" spans="1:3">
      <c r="A35" s="144" t="s">
        <v>1387</v>
      </c>
      <c r="B35" s="144" t="s">
        <v>1899</v>
      </c>
    </row>
    <row r="36" spans="1:3">
      <c r="A36" s="144" t="s">
        <v>1768</v>
      </c>
      <c r="B36" s="144" t="s">
        <v>1900</v>
      </c>
    </row>
    <row r="37" spans="1:3">
      <c r="A37" s="144" t="s">
        <v>1001</v>
      </c>
      <c r="B37" s="144" t="s">
        <v>1898</v>
      </c>
    </row>
    <row r="38" spans="1:3">
      <c r="A38" s="144" t="s">
        <v>1769</v>
      </c>
      <c r="B38" s="144" t="s">
        <v>218</v>
      </c>
    </row>
    <row r="39" spans="1:3">
      <c r="A39" s="144" t="s">
        <v>1770</v>
      </c>
      <c r="B39" s="144" t="s">
        <v>1585</v>
      </c>
    </row>
    <row r="40" spans="1:3">
      <c r="A40" s="144" t="s">
        <v>1771</v>
      </c>
    </row>
  </sheetData>
  <dataValidations count="7">
    <dataValidation type="list" allowBlank="1" showInputMessage="1" showErrorMessage="1" sqref="K3:K18" xr:uid="{5528B6FE-867F-4275-AB9D-16F270D85600}">
      <formula1>$A$4:$A$7</formula1>
    </dataValidation>
    <dataValidation type="list" allowBlank="1" showInputMessage="1" showErrorMessage="1" sqref="N3:N18" xr:uid="{D928A3D6-53E4-4219-B1D3-FC763A70FE56}">
      <formula1>$A$8:$A$17</formula1>
    </dataValidation>
    <dataValidation type="list" allowBlank="1" showInputMessage="1" showErrorMessage="1" sqref="U3:U18" xr:uid="{24045454-3067-4063-A68D-6AEA0947AF6F}">
      <formula1>$A$18:$A$20</formula1>
    </dataValidation>
    <dataValidation type="list" allowBlank="1" showInputMessage="1" showErrorMessage="1" sqref="Q3:Q18" xr:uid="{D72EF2A8-9902-4A8B-B3D3-DE0B14124014}">
      <formula1>$A$21:$A$40</formula1>
    </dataValidation>
    <dataValidation type="list" allowBlank="1" showInputMessage="1" showErrorMessage="1" sqref="R3:R18" xr:uid="{DCCF7CA3-BCF9-492B-8331-1E0AE0591404}">
      <formula1>$B$5:$B$11</formula1>
    </dataValidation>
    <dataValidation type="list" allowBlank="1" showInputMessage="1" showErrorMessage="1" sqref="S3:S18" xr:uid="{6E53F7F4-7627-45C4-8617-E0CEEA9105B5}">
      <formula1>$B$13:$B$39</formula1>
    </dataValidation>
    <dataValidation type="list" allowBlank="1" showInputMessage="1" showErrorMessage="1" sqref="G3:G18" xr:uid="{F9FEBEBC-B1CF-4A7D-B83B-B5C10D0F9A4A}">
      <formula1>$A$1:$A$3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C6E6-D5E0-4AC0-9B72-D65546505C23}">
  <sheetPr>
    <tabColor rgb="FFFF0000"/>
  </sheetPr>
  <dimension ref="A2:AA43"/>
  <sheetViews>
    <sheetView topLeftCell="L1" zoomScale="78" workbookViewId="0">
      <selection activeCell="I44" sqref="I44"/>
    </sheetView>
  </sheetViews>
  <sheetFormatPr baseColWidth="10" defaultColWidth="11.5546875" defaultRowHeight="14.4"/>
  <cols>
    <col min="1" max="1" width="22.6640625" style="132" bestFit="1" customWidth="1"/>
    <col min="2" max="3" width="22.6640625" style="132" customWidth="1"/>
    <col min="4" max="5" width="11.5546875" style="132"/>
    <col min="6" max="6" width="17.33203125" style="132" customWidth="1"/>
    <col min="7" max="7" width="18.33203125" style="132" customWidth="1"/>
    <col min="8" max="8" width="16" style="132" customWidth="1"/>
    <col min="9" max="9" width="24.33203125" style="132" customWidth="1"/>
    <col min="10" max="11" width="11.5546875" style="132"/>
    <col min="12" max="12" width="20.33203125" style="132" customWidth="1"/>
    <col min="13" max="13" width="11.5546875" style="132"/>
    <col min="14" max="14" width="15.5546875" style="132" customWidth="1"/>
    <col min="15" max="15" width="11.5546875" style="132"/>
    <col min="16" max="16" width="18.5546875" style="132" customWidth="1"/>
    <col min="17" max="17" width="11.5546875" style="132"/>
    <col min="18" max="18" width="12" style="132" customWidth="1"/>
    <col min="19" max="19" width="11.5546875" style="132"/>
    <col min="20" max="20" width="25.109375" style="132" customWidth="1"/>
    <col min="21" max="21" width="24.88671875" style="132" customWidth="1"/>
    <col min="22" max="16384" width="11.5546875" style="132"/>
  </cols>
  <sheetData>
    <row r="2" spans="1:22">
      <c r="A2" s="144" t="s">
        <v>151</v>
      </c>
      <c r="B2" s="144"/>
      <c r="C2" s="144"/>
      <c r="D2" s="153" t="s">
        <v>417</v>
      </c>
      <c r="E2" s="153" t="s">
        <v>2288</v>
      </c>
      <c r="F2" s="154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2">
      <c r="A3" s="144" t="s">
        <v>129</v>
      </c>
      <c r="B3" s="144"/>
      <c r="D3" s="566"/>
      <c r="E3" s="165">
        <v>14</v>
      </c>
      <c r="F3" s="135" t="s">
        <v>1572</v>
      </c>
      <c r="G3" s="135" t="s">
        <v>129</v>
      </c>
      <c r="H3" s="309" t="s">
        <v>1878</v>
      </c>
      <c r="I3" s="309"/>
      <c r="J3" s="309" t="s">
        <v>1878</v>
      </c>
      <c r="K3" s="135" t="s">
        <v>1585</v>
      </c>
      <c r="L3" s="310">
        <v>36526</v>
      </c>
      <c r="M3" s="148">
        <f ca="1">DATEDIF(L3,TODAY(),"Y")</f>
        <v>26</v>
      </c>
      <c r="N3" s="135" t="s">
        <v>1588</v>
      </c>
      <c r="O3" s="311" t="s">
        <v>1879</v>
      </c>
      <c r="P3" s="311" t="s">
        <v>1879</v>
      </c>
      <c r="Q3" s="135" t="s">
        <v>1572</v>
      </c>
      <c r="R3" s="172" t="s">
        <v>1585</v>
      </c>
      <c r="S3" s="174" t="s">
        <v>1585</v>
      </c>
      <c r="T3" s="309" t="s">
        <v>1878</v>
      </c>
      <c r="U3" s="152" t="s">
        <v>166</v>
      </c>
      <c r="V3" s="144" t="s">
        <v>210</v>
      </c>
    </row>
    <row r="4" spans="1:22">
      <c r="D4" s="166"/>
      <c r="E4" s="166">
        <v>14</v>
      </c>
      <c r="F4" s="167" t="s">
        <v>1572</v>
      </c>
      <c r="G4" s="167" t="s">
        <v>129</v>
      </c>
      <c r="H4" s="313" t="s">
        <v>1878</v>
      </c>
      <c r="I4" s="313"/>
      <c r="J4" s="313" t="s">
        <v>1878</v>
      </c>
      <c r="K4" s="167" t="s">
        <v>1585</v>
      </c>
      <c r="L4" s="314">
        <v>36527</v>
      </c>
      <c r="M4" s="168">
        <f ca="1">DATEDIF(L4,TODAY(),"Y")</f>
        <v>26</v>
      </c>
      <c r="N4" s="167" t="s">
        <v>1588</v>
      </c>
      <c r="O4" s="315" t="s">
        <v>1880</v>
      </c>
      <c r="P4" s="315" t="s">
        <v>1880</v>
      </c>
      <c r="Q4" s="167" t="s">
        <v>1572</v>
      </c>
      <c r="R4" s="316" t="s">
        <v>1585</v>
      </c>
      <c r="S4" s="317" t="s">
        <v>1585</v>
      </c>
      <c r="T4" s="313" t="s">
        <v>1878</v>
      </c>
      <c r="U4" s="169" t="s">
        <v>160</v>
      </c>
      <c r="V4" s="144" t="s">
        <v>210</v>
      </c>
    </row>
    <row r="5" spans="1:22">
      <c r="A5" s="144" t="s">
        <v>1191</v>
      </c>
      <c r="B5" t="s">
        <v>333</v>
      </c>
      <c r="C5" s="144"/>
    </row>
    <row r="6" spans="1:22">
      <c r="A6" s="144" t="s">
        <v>1187</v>
      </c>
      <c r="B6" t="s">
        <v>164</v>
      </c>
      <c r="C6" s="144"/>
    </row>
    <row r="7" spans="1:22">
      <c r="A7" s="144" t="s">
        <v>1585</v>
      </c>
      <c r="B7" t="s">
        <v>321</v>
      </c>
      <c r="C7" s="144"/>
    </row>
    <row r="8" spans="1:22">
      <c r="B8" t="s">
        <v>192</v>
      </c>
    </row>
    <row r="9" spans="1:22">
      <c r="A9" s="144" t="s">
        <v>56</v>
      </c>
      <c r="B9" t="s">
        <v>876</v>
      </c>
      <c r="C9" s="144"/>
    </row>
    <row r="10" spans="1:22">
      <c r="A10" s="144" t="s">
        <v>212</v>
      </c>
      <c r="B10" t="s">
        <v>891</v>
      </c>
      <c r="C10" s="144"/>
    </row>
    <row r="11" spans="1:22">
      <c r="A11" s="144" t="s">
        <v>73</v>
      </c>
      <c r="B11" t="s">
        <v>1585</v>
      </c>
      <c r="C11" s="143"/>
    </row>
    <row r="12" spans="1:22">
      <c r="A12" s="144" t="s">
        <v>272</v>
      </c>
      <c r="B12" s="144"/>
      <c r="C12" s="144"/>
    </row>
    <row r="13" spans="1:22">
      <c r="A13" s="144" t="s">
        <v>114</v>
      </c>
      <c r="B13" s="171" t="s">
        <v>461</v>
      </c>
      <c r="C13" s="144"/>
    </row>
    <row r="14" spans="1:22">
      <c r="A14" s="144" t="s">
        <v>1586</v>
      </c>
      <c r="B14" s="171" t="s">
        <v>663</v>
      </c>
      <c r="C14" s="144"/>
    </row>
    <row r="15" spans="1:22">
      <c r="A15" s="144" t="s">
        <v>227</v>
      </c>
      <c r="B15" s="171" t="s">
        <v>170</v>
      </c>
      <c r="C15" s="144"/>
    </row>
    <row r="16" spans="1:22">
      <c r="A16" s="144" t="s">
        <v>1587</v>
      </c>
      <c r="B16" s="171" t="s">
        <v>193</v>
      </c>
      <c r="C16" s="144"/>
    </row>
    <row r="17" spans="1:27">
      <c r="A17" s="144" t="s">
        <v>1588</v>
      </c>
      <c r="B17" s="171" t="s">
        <v>1881</v>
      </c>
    </row>
    <row r="18" spans="1:27">
      <c r="B18" s="171" t="s">
        <v>1882</v>
      </c>
      <c r="C18" s="143"/>
    </row>
    <row r="19" spans="1:27">
      <c r="A19" s="144" t="s">
        <v>160</v>
      </c>
      <c r="B19" s="171" t="s">
        <v>405</v>
      </c>
      <c r="C19" s="144"/>
    </row>
    <row r="20" spans="1:27">
      <c r="A20" s="144" t="s">
        <v>166</v>
      </c>
      <c r="B20" s="171" t="s">
        <v>1883</v>
      </c>
      <c r="C20" s="144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 spans="1:27">
      <c r="B21" s="171" t="s">
        <v>230</v>
      </c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2"/>
      <c r="Z21" s="133"/>
      <c r="AA21" s="133"/>
    </row>
    <row r="22" spans="1:27">
      <c r="A22" s="144" t="s">
        <v>1772</v>
      </c>
      <c r="B22" s="171" t="s">
        <v>1884</v>
      </c>
    </row>
    <row r="23" spans="1:27">
      <c r="A23" s="144" t="s">
        <v>1773</v>
      </c>
      <c r="B23" s="171" t="s">
        <v>1885</v>
      </c>
      <c r="C23" s="143"/>
    </row>
    <row r="24" spans="1:27">
      <c r="A24" s="144" t="s">
        <v>1774</v>
      </c>
      <c r="B24" s="171" t="s">
        <v>1886</v>
      </c>
      <c r="C24" s="144"/>
      <c r="G24" s="144"/>
    </row>
    <row r="25" spans="1:27">
      <c r="A25" s="144" t="s">
        <v>1775</v>
      </c>
      <c r="B25" s="171" t="s">
        <v>1887</v>
      </c>
    </row>
    <row r="26" spans="1:27">
      <c r="A26" s="144" t="s">
        <v>1778</v>
      </c>
      <c r="B26" s="171" t="s">
        <v>1888</v>
      </c>
    </row>
    <row r="27" spans="1:27">
      <c r="A27" s="144" t="s">
        <v>1776</v>
      </c>
      <c r="B27" s="171" t="s">
        <v>1889</v>
      </c>
    </row>
    <row r="28" spans="1:27">
      <c r="A28" s="144" t="s">
        <v>1777</v>
      </c>
      <c r="B28" s="171" t="s">
        <v>1890</v>
      </c>
    </row>
    <row r="29" spans="1:27">
      <c r="A29" s="144" t="s">
        <v>1779</v>
      </c>
      <c r="B29" s="171" t="s">
        <v>1891</v>
      </c>
    </row>
    <row r="30" spans="1:27">
      <c r="A30" s="144" t="s">
        <v>1780</v>
      </c>
      <c r="B30" s="171" t="s">
        <v>1892</v>
      </c>
    </row>
    <row r="31" spans="1:27">
      <c r="A31" s="144" t="s">
        <v>1572</v>
      </c>
      <c r="B31" s="171" t="s">
        <v>1893</v>
      </c>
    </row>
    <row r="32" spans="1:27">
      <c r="A32" s="144" t="s">
        <v>1781</v>
      </c>
      <c r="B32" s="171" t="s">
        <v>1894</v>
      </c>
    </row>
    <row r="33" spans="1:2">
      <c r="A33" s="132" t="s">
        <v>1782</v>
      </c>
      <c r="B33" s="171" t="s">
        <v>1895</v>
      </c>
    </row>
    <row r="34" spans="1:2">
      <c r="A34" s="144" t="s">
        <v>1783</v>
      </c>
      <c r="B34" s="171" t="s">
        <v>1896</v>
      </c>
    </row>
    <row r="35" spans="1:2">
      <c r="A35" s="132" t="s">
        <v>1785</v>
      </c>
      <c r="B35" s="170" t="s">
        <v>1899</v>
      </c>
    </row>
    <row r="36" spans="1:2">
      <c r="A36" s="144" t="s">
        <v>1784</v>
      </c>
      <c r="B36" s="170" t="s">
        <v>1900</v>
      </c>
    </row>
    <row r="37" spans="1:2">
      <c r="A37" s="132" t="s">
        <v>1786</v>
      </c>
      <c r="B37" t="s">
        <v>1898</v>
      </c>
    </row>
    <row r="38" spans="1:2">
      <c r="A38" s="132" t="s">
        <v>1787</v>
      </c>
      <c r="B38" s="144" t="s">
        <v>218</v>
      </c>
    </row>
    <row r="39" spans="1:2">
      <c r="A39" s="144" t="s">
        <v>1788</v>
      </c>
      <c r="B39" s="144" t="s">
        <v>1585</v>
      </c>
    </row>
    <row r="40" spans="1:2">
      <c r="A40" s="132" t="s">
        <v>1789</v>
      </c>
    </row>
    <row r="41" spans="1:2">
      <c r="A41" s="144" t="s">
        <v>1790</v>
      </c>
    </row>
    <row r="42" spans="1:2">
      <c r="A42" s="144" t="s">
        <v>1791</v>
      </c>
    </row>
    <row r="43" spans="1:2">
      <c r="A43" s="144" t="s">
        <v>1792</v>
      </c>
    </row>
  </sheetData>
  <phoneticPr fontId="41" type="noConversion"/>
  <dataValidations count="7">
    <dataValidation type="list" allowBlank="1" showInputMessage="1" showErrorMessage="1" sqref="G3:G23" xr:uid="{09C0B993-0832-4F2B-95FA-B123B9688FA0}">
      <formula1>$A$1:$A$3</formula1>
    </dataValidation>
    <dataValidation type="list" allowBlank="1" showInputMessage="1" showErrorMessage="1" sqref="K3:K4" xr:uid="{426D42C3-3C50-43A6-AAA6-333B8EC652EC}">
      <formula1>$A$4:$A$7</formula1>
    </dataValidation>
    <dataValidation type="list" allowBlank="1" showInputMessage="1" showErrorMessage="1" sqref="N3:N4" xr:uid="{1F53702E-C4A2-459C-BC15-841FB71CC195}">
      <formula1>$A$8:$A$17</formula1>
    </dataValidation>
    <dataValidation type="list" allowBlank="1" showInputMessage="1" showErrorMessage="1" sqref="U3:U4" xr:uid="{B4172ECD-8552-4353-BDB9-BAFE92ECCCD2}">
      <formula1>$A$18:$A$20</formula1>
    </dataValidation>
    <dataValidation type="list" allowBlank="1" showInputMessage="1" showErrorMessage="1" sqref="Q3:Q4" xr:uid="{17AE168D-3D22-4261-AAAF-559C44A6CE05}">
      <formula1>$A$21:$A$43</formula1>
    </dataValidation>
    <dataValidation type="list" allowBlank="1" showInputMessage="1" showErrorMessage="1" sqref="R3:R4" xr:uid="{EB07B4DA-B481-471A-B74A-50EB964E4641}">
      <formula1>$B$5:$B$11</formula1>
    </dataValidation>
    <dataValidation type="list" allowBlank="1" showInputMessage="1" showErrorMessage="1" sqref="S3:S4" xr:uid="{A3086BB3-3465-421C-B6F4-C8694C0D714E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9134-32CE-4ACA-A13E-DCAF83B8E71E}">
  <dimension ref="A2:V96"/>
  <sheetViews>
    <sheetView topLeftCell="I1" zoomScale="78" zoomScaleNormal="78" workbookViewId="0">
      <selection activeCell="E3" sqref="E3:V96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4" width="13.88671875" style="144" customWidth="1"/>
    <col min="5" max="5" width="11.6640625" style="144" bestFit="1" customWidth="1"/>
    <col min="6" max="6" width="24.88671875" style="144" bestFit="1" customWidth="1"/>
    <col min="7" max="7" width="20.44140625" style="144" customWidth="1"/>
    <col min="8" max="8" width="23.21875" style="144" customWidth="1"/>
    <col min="9" max="9" width="34.6640625" style="144" bestFit="1" customWidth="1"/>
    <col min="10" max="10" width="15.6640625" style="144" bestFit="1" customWidth="1"/>
    <col min="11" max="11" width="11.5546875" style="144"/>
    <col min="12" max="12" width="23.33203125" style="144" customWidth="1"/>
    <col min="13" max="13" width="11.6640625" style="144" bestFit="1" customWidth="1"/>
    <col min="14" max="14" width="17.33203125" style="144" customWidth="1"/>
    <col min="15" max="15" width="11.5546875" style="144"/>
    <col min="16" max="16" width="21" style="144" customWidth="1"/>
    <col min="17" max="17" width="11.5546875" style="144"/>
    <col min="18" max="18" width="13.44140625" style="144" customWidth="1"/>
    <col min="19" max="19" width="11.5546875" style="144"/>
    <col min="20" max="20" width="29.6640625" style="144" customWidth="1"/>
    <col min="21" max="21" width="28.3320312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73" t="s">
        <v>1854</v>
      </c>
      <c r="G2" s="406" t="s">
        <v>1584</v>
      </c>
      <c r="H2" s="406" t="s">
        <v>418</v>
      </c>
      <c r="I2" s="406" t="s">
        <v>1410</v>
      </c>
      <c r="J2" s="406" t="s">
        <v>5</v>
      </c>
      <c r="K2" s="406" t="s">
        <v>6</v>
      </c>
      <c r="L2" s="406" t="s">
        <v>7</v>
      </c>
      <c r="M2" s="406" t="s">
        <v>8</v>
      </c>
      <c r="N2" s="406" t="s">
        <v>9</v>
      </c>
      <c r="O2" s="406" t="s">
        <v>1589</v>
      </c>
      <c r="P2" s="406" t="s">
        <v>11</v>
      </c>
      <c r="Q2" s="406" t="s">
        <v>12</v>
      </c>
      <c r="R2" s="406" t="s">
        <v>14</v>
      </c>
      <c r="S2" s="406" t="s">
        <v>16</v>
      </c>
      <c r="T2" s="406" t="s">
        <v>1590</v>
      </c>
      <c r="U2" s="407" t="s">
        <v>18</v>
      </c>
      <c r="V2" s="553" t="s">
        <v>20</v>
      </c>
    </row>
    <row r="3" spans="1:22" ht="16.8" customHeight="1">
      <c r="A3" s="144" t="s">
        <v>129</v>
      </c>
      <c r="D3" s="755" t="s">
        <v>2289</v>
      </c>
      <c r="E3" s="755">
        <v>15</v>
      </c>
      <c r="F3" s="755" t="s">
        <v>1057</v>
      </c>
      <c r="G3" s="755" t="s">
        <v>129</v>
      </c>
      <c r="H3" s="894" t="s">
        <v>986</v>
      </c>
      <c r="I3" s="894" t="s">
        <v>987</v>
      </c>
      <c r="J3" s="895">
        <v>98637543</v>
      </c>
      <c r="K3" s="755" t="s">
        <v>1187</v>
      </c>
      <c r="L3" s="765"/>
      <c r="M3" s="757"/>
      <c r="N3" s="755" t="s">
        <v>1588</v>
      </c>
      <c r="O3" s="895">
        <v>3218707867</v>
      </c>
      <c r="P3" s="896" t="s">
        <v>988</v>
      </c>
      <c r="Q3" s="755"/>
      <c r="R3" s="897" t="s">
        <v>1585</v>
      </c>
      <c r="S3" s="897" t="s">
        <v>1585</v>
      </c>
      <c r="T3" s="894">
        <v>2024</v>
      </c>
      <c r="U3" s="755" t="s">
        <v>166</v>
      </c>
      <c r="V3" s="761" t="s">
        <v>210</v>
      </c>
    </row>
    <row r="4" spans="1:22">
      <c r="D4" s="200"/>
      <c r="E4" s="200">
        <v>15</v>
      </c>
      <c r="F4" s="200" t="s">
        <v>1057</v>
      </c>
      <c r="G4" s="200" t="s">
        <v>129</v>
      </c>
      <c r="H4" s="408" t="s">
        <v>986</v>
      </c>
      <c r="I4" s="408" t="s">
        <v>989</v>
      </c>
      <c r="J4" s="409">
        <v>1020302900</v>
      </c>
      <c r="K4" s="200" t="s">
        <v>1187</v>
      </c>
      <c r="L4" s="191"/>
      <c r="M4" s="238"/>
      <c r="N4" s="200" t="s">
        <v>1588</v>
      </c>
      <c r="O4" s="409">
        <v>3156707169</v>
      </c>
      <c r="P4" s="409" t="s">
        <v>990</v>
      </c>
      <c r="Q4" s="200"/>
      <c r="R4" s="410" t="s">
        <v>1585</v>
      </c>
      <c r="S4" s="410" t="s">
        <v>1585</v>
      </c>
      <c r="T4" s="408">
        <v>2024</v>
      </c>
      <c r="U4" s="200" t="s">
        <v>160</v>
      </c>
      <c r="V4" s="144" t="s">
        <v>210</v>
      </c>
    </row>
    <row r="5" spans="1:22">
      <c r="A5" s="144" t="s">
        <v>1191</v>
      </c>
      <c r="B5" s="140" t="s">
        <v>333</v>
      </c>
      <c r="C5" s="140"/>
      <c r="D5" s="200"/>
      <c r="E5" s="200">
        <v>15</v>
      </c>
      <c r="F5" s="200" t="s">
        <v>1057</v>
      </c>
      <c r="G5" s="200" t="s">
        <v>129</v>
      </c>
      <c r="H5" s="408" t="s">
        <v>986</v>
      </c>
      <c r="I5" s="408" t="s">
        <v>991</v>
      </c>
      <c r="J5" s="409">
        <v>1036608250</v>
      </c>
      <c r="K5" s="200" t="s">
        <v>1191</v>
      </c>
      <c r="L5" s="191"/>
      <c r="M5" s="238"/>
      <c r="N5" s="200" t="s">
        <v>1588</v>
      </c>
      <c r="O5" s="409">
        <v>3128077036</v>
      </c>
      <c r="P5" s="411" t="s">
        <v>992</v>
      </c>
      <c r="Q5" s="200"/>
      <c r="R5" s="410" t="s">
        <v>1585</v>
      </c>
      <c r="S5" s="410" t="s">
        <v>1585</v>
      </c>
      <c r="T5" s="408">
        <v>2024</v>
      </c>
      <c r="U5" s="200" t="s">
        <v>160</v>
      </c>
      <c r="V5" s="144" t="s">
        <v>210</v>
      </c>
    </row>
    <row r="6" spans="1:22">
      <c r="A6" s="144" t="s">
        <v>1187</v>
      </c>
      <c r="B6" s="140" t="s">
        <v>164</v>
      </c>
      <c r="C6" s="140"/>
      <c r="D6" s="200"/>
      <c r="E6" s="200">
        <v>15</v>
      </c>
      <c r="F6" s="200" t="s">
        <v>1057</v>
      </c>
      <c r="G6" s="200" t="s">
        <v>129</v>
      </c>
      <c r="H6" s="408" t="s">
        <v>986</v>
      </c>
      <c r="I6" s="408" t="s">
        <v>993</v>
      </c>
      <c r="J6" s="409">
        <v>71294344</v>
      </c>
      <c r="K6" s="200" t="s">
        <v>1187</v>
      </c>
      <c r="L6" s="191"/>
      <c r="M6" s="238"/>
      <c r="N6" s="200" t="s">
        <v>1588</v>
      </c>
      <c r="O6" s="409">
        <v>3197391872</v>
      </c>
      <c r="P6" s="411" t="s">
        <v>994</v>
      </c>
      <c r="Q6" s="200"/>
      <c r="R6" s="410" t="s">
        <v>1585</v>
      </c>
      <c r="S6" s="410" t="s">
        <v>1585</v>
      </c>
      <c r="T6" s="408">
        <v>2024</v>
      </c>
      <c r="U6" s="200" t="s">
        <v>160</v>
      </c>
      <c r="V6" s="144" t="s">
        <v>210</v>
      </c>
    </row>
    <row r="7" spans="1:22">
      <c r="A7" s="144" t="s">
        <v>1585</v>
      </c>
      <c r="B7" s="140" t="s">
        <v>321</v>
      </c>
      <c r="C7" s="140"/>
      <c r="D7" s="200"/>
      <c r="E7" s="200">
        <v>15</v>
      </c>
      <c r="F7" s="200" t="s">
        <v>1057</v>
      </c>
      <c r="G7" s="200" t="s">
        <v>129</v>
      </c>
      <c r="H7" s="408" t="s">
        <v>986</v>
      </c>
      <c r="I7" s="408" t="s">
        <v>995</v>
      </c>
      <c r="J7" s="409">
        <v>1001710018</v>
      </c>
      <c r="K7" s="200" t="s">
        <v>1187</v>
      </c>
      <c r="L7" s="191"/>
      <c r="M7" s="238"/>
      <c r="N7" s="200" t="s">
        <v>1588</v>
      </c>
      <c r="O7" s="409">
        <v>3178337600</v>
      </c>
      <c r="P7" s="412" t="s">
        <v>996</v>
      </c>
      <c r="Q7" s="200"/>
      <c r="R7" s="410" t="s">
        <v>1585</v>
      </c>
      <c r="S7" s="410" t="s">
        <v>1585</v>
      </c>
      <c r="T7" s="408">
        <v>2024</v>
      </c>
      <c r="U7" s="200" t="s">
        <v>160</v>
      </c>
      <c r="V7" s="144" t="s">
        <v>210</v>
      </c>
    </row>
    <row r="8" spans="1:22">
      <c r="B8" s="140" t="s">
        <v>192</v>
      </c>
      <c r="C8" s="140"/>
      <c r="D8" s="200"/>
      <c r="E8" s="200">
        <v>15</v>
      </c>
      <c r="F8" s="200" t="s">
        <v>1057</v>
      </c>
      <c r="G8" s="200" t="s">
        <v>129</v>
      </c>
      <c r="H8" s="408" t="s">
        <v>986</v>
      </c>
      <c r="I8" s="408" t="s">
        <v>997</v>
      </c>
      <c r="J8" s="409">
        <v>43876983</v>
      </c>
      <c r="K8" s="200" t="s">
        <v>1191</v>
      </c>
      <c r="L8" s="191"/>
      <c r="M8" s="238"/>
      <c r="N8" s="200" t="s">
        <v>1588</v>
      </c>
      <c r="O8" s="409">
        <v>3158236721</v>
      </c>
      <c r="P8" s="412" t="s">
        <v>998</v>
      </c>
      <c r="Q8" s="200"/>
      <c r="R8" s="410" t="s">
        <v>1585</v>
      </c>
      <c r="S8" s="410" t="s">
        <v>1585</v>
      </c>
      <c r="T8" s="408">
        <v>2024</v>
      </c>
      <c r="U8" s="200" t="s">
        <v>160</v>
      </c>
      <c r="V8" s="144" t="s">
        <v>210</v>
      </c>
    </row>
    <row r="9" spans="1:22">
      <c r="A9" s="144" t="s">
        <v>56</v>
      </c>
      <c r="B9" s="140" t="s">
        <v>876</v>
      </c>
      <c r="C9" s="140"/>
      <c r="D9" s="200"/>
      <c r="E9" s="200">
        <v>15</v>
      </c>
      <c r="F9" s="200" t="s">
        <v>1057</v>
      </c>
      <c r="G9" s="200" t="s">
        <v>129</v>
      </c>
      <c r="H9" s="408" t="s">
        <v>986</v>
      </c>
      <c r="I9" s="408" t="s">
        <v>999</v>
      </c>
      <c r="J9" s="409">
        <v>98535995</v>
      </c>
      <c r="K9" s="200" t="s">
        <v>1187</v>
      </c>
      <c r="L9" s="191"/>
      <c r="M9" s="238"/>
      <c r="N9" s="200" t="s">
        <v>1588</v>
      </c>
      <c r="O9" s="409">
        <v>3113445696</v>
      </c>
      <c r="P9" s="409" t="s">
        <v>1000</v>
      </c>
      <c r="Q9" s="200"/>
      <c r="R9" s="410" t="s">
        <v>1585</v>
      </c>
      <c r="S9" s="410" t="s">
        <v>1585</v>
      </c>
      <c r="T9" s="408">
        <v>2024</v>
      </c>
      <c r="U9" s="200" t="s">
        <v>160</v>
      </c>
      <c r="V9" s="144" t="s">
        <v>210</v>
      </c>
    </row>
    <row r="10" spans="1:22">
      <c r="A10" s="144" t="s">
        <v>212</v>
      </c>
      <c r="B10" s="140" t="s">
        <v>891</v>
      </c>
      <c r="C10" s="140"/>
      <c r="D10" s="755" t="s">
        <v>2289</v>
      </c>
      <c r="E10" s="755">
        <v>15</v>
      </c>
      <c r="F10" s="755" t="s">
        <v>1057</v>
      </c>
      <c r="G10" s="755" t="s">
        <v>129</v>
      </c>
      <c r="H10" s="894" t="s">
        <v>1001</v>
      </c>
      <c r="I10" s="894" t="s">
        <v>1002</v>
      </c>
      <c r="J10" s="895">
        <v>1036680854</v>
      </c>
      <c r="K10" s="755" t="s">
        <v>1187</v>
      </c>
      <c r="L10" s="765"/>
      <c r="M10" s="757"/>
      <c r="N10" s="755" t="s">
        <v>1588</v>
      </c>
      <c r="O10" s="895">
        <v>3145804890</v>
      </c>
      <c r="P10" s="895" t="s">
        <v>1003</v>
      </c>
      <c r="Q10" s="755"/>
      <c r="R10" s="897" t="s">
        <v>1585</v>
      </c>
      <c r="S10" s="897" t="s">
        <v>1585</v>
      </c>
      <c r="T10" s="894">
        <v>2024</v>
      </c>
      <c r="U10" s="755" t="s">
        <v>166</v>
      </c>
      <c r="V10" s="761" t="s">
        <v>210</v>
      </c>
    </row>
    <row r="11" spans="1:22">
      <c r="A11" s="144" t="s">
        <v>73</v>
      </c>
      <c r="B11" s="140" t="s">
        <v>1585</v>
      </c>
      <c r="C11" s="140"/>
      <c r="D11" s="416"/>
      <c r="E11" s="195">
        <v>15</v>
      </c>
      <c r="F11" s="195" t="s">
        <v>1057</v>
      </c>
      <c r="G11" s="195" t="s">
        <v>129</v>
      </c>
      <c r="H11" s="413" t="s">
        <v>1001</v>
      </c>
      <c r="I11" s="413" t="s">
        <v>1004</v>
      </c>
      <c r="J11" s="414">
        <v>43540187</v>
      </c>
      <c r="K11" s="195" t="s">
        <v>1191</v>
      </c>
      <c r="L11" s="177"/>
      <c r="M11" s="239"/>
      <c r="N11" s="195" t="s">
        <v>1588</v>
      </c>
      <c r="O11" s="414">
        <v>3167795968</v>
      </c>
      <c r="P11" s="417" t="s">
        <v>1005</v>
      </c>
      <c r="Q11" s="195"/>
      <c r="R11" s="415" t="s">
        <v>1585</v>
      </c>
      <c r="S11" s="415" t="s">
        <v>1585</v>
      </c>
      <c r="T11" s="413">
        <v>2024</v>
      </c>
      <c r="U11" s="195" t="s">
        <v>160</v>
      </c>
      <c r="V11" s="144" t="s">
        <v>210</v>
      </c>
    </row>
    <row r="12" spans="1:22">
      <c r="A12" s="144" t="s">
        <v>272</v>
      </c>
      <c r="D12" s="195"/>
      <c r="E12" s="195">
        <v>15</v>
      </c>
      <c r="F12" s="195" t="s">
        <v>1057</v>
      </c>
      <c r="G12" s="195" t="s">
        <v>129</v>
      </c>
      <c r="H12" s="413" t="s">
        <v>1001</v>
      </c>
      <c r="I12" s="413" t="s">
        <v>1006</v>
      </c>
      <c r="J12" s="414">
        <v>1156963033</v>
      </c>
      <c r="K12" s="195" t="s">
        <v>1187</v>
      </c>
      <c r="L12" s="177"/>
      <c r="M12" s="239"/>
      <c r="N12" s="195" t="s">
        <v>1588</v>
      </c>
      <c r="O12" s="414">
        <v>3136542865</v>
      </c>
      <c r="P12" s="418" t="s">
        <v>1007</v>
      </c>
      <c r="Q12" s="195"/>
      <c r="R12" s="415" t="s">
        <v>1585</v>
      </c>
      <c r="S12" s="415" t="s">
        <v>1585</v>
      </c>
      <c r="T12" s="413">
        <v>2024</v>
      </c>
      <c r="U12" s="195" t="s">
        <v>160</v>
      </c>
      <c r="V12" s="144" t="s">
        <v>210</v>
      </c>
    </row>
    <row r="13" spans="1:22">
      <c r="A13" s="144" t="s">
        <v>114</v>
      </c>
      <c r="B13" s="323" t="s">
        <v>461</v>
      </c>
      <c r="C13" s="323"/>
      <c r="D13" s="195"/>
      <c r="E13" s="195">
        <v>15</v>
      </c>
      <c r="F13" s="195" t="s">
        <v>1057</v>
      </c>
      <c r="G13" s="195" t="s">
        <v>129</v>
      </c>
      <c r="H13" s="413" t="s">
        <v>1001</v>
      </c>
      <c r="I13" s="413" t="s">
        <v>1008</v>
      </c>
      <c r="J13" s="414">
        <v>1033257432</v>
      </c>
      <c r="K13" s="195" t="s">
        <v>1191</v>
      </c>
      <c r="L13" s="177"/>
      <c r="M13" s="239"/>
      <c r="N13" s="195" t="s">
        <v>1588</v>
      </c>
      <c r="O13" s="414">
        <v>3046165169</v>
      </c>
      <c r="P13" s="413" t="s">
        <v>1009</v>
      </c>
      <c r="Q13" s="195"/>
      <c r="R13" s="415" t="s">
        <v>1585</v>
      </c>
      <c r="S13" s="415" t="s">
        <v>1585</v>
      </c>
      <c r="T13" s="413">
        <v>2024</v>
      </c>
      <c r="U13" s="195" t="s">
        <v>160</v>
      </c>
      <c r="V13" s="144" t="s">
        <v>210</v>
      </c>
    </row>
    <row r="14" spans="1:22">
      <c r="A14" s="144" t="s">
        <v>1586</v>
      </c>
      <c r="B14" s="323" t="s">
        <v>663</v>
      </c>
      <c r="C14" s="323"/>
      <c r="D14" s="195"/>
      <c r="E14" s="195">
        <v>15</v>
      </c>
      <c r="F14" s="195" t="s">
        <v>1057</v>
      </c>
      <c r="G14" s="195" t="s">
        <v>129</v>
      </c>
      <c r="H14" s="413" t="s">
        <v>1001</v>
      </c>
      <c r="I14" s="413" t="s">
        <v>1010</v>
      </c>
      <c r="J14" s="414">
        <v>43320988</v>
      </c>
      <c r="K14" s="195" t="s">
        <v>1191</v>
      </c>
      <c r="L14" s="177"/>
      <c r="M14" s="239"/>
      <c r="N14" s="195" t="s">
        <v>1588</v>
      </c>
      <c r="O14" s="414">
        <v>3148828768</v>
      </c>
      <c r="P14" s="414" t="s">
        <v>1011</v>
      </c>
      <c r="Q14" s="195"/>
      <c r="R14" s="415" t="s">
        <v>1585</v>
      </c>
      <c r="S14" s="415" t="s">
        <v>1585</v>
      </c>
      <c r="T14" s="413">
        <v>2024</v>
      </c>
      <c r="U14" s="195" t="s">
        <v>160</v>
      </c>
      <c r="V14" s="144" t="s">
        <v>210</v>
      </c>
    </row>
    <row r="15" spans="1:22">
      <c r="A15" s="144" t="s">
        <v>227</v>
      </c>
      <c r="B15" s="323" t="s">
        <v>170</v>
      </c>
      <c r="C15" s="323"/>
      <c r="D15" s="195"/>
      <c r="E15" s="195">
        <v>15</v>
      </c>
      <c r="F15" s="195" t="s">
        <v>1057</v>
      </c>
      <c r="G15" s="195" t="s">
        <v>129</v>
      </c>
      <c r="H15" s="413" t="s">
        <v>1001</v>
      </c>
      <c r="I15" s="413" t="s">
        <v>1012</v>
      </c>
      <c r="J15" s="414">
        <v>98453898</v>
      </c>
      <c r="K15" s="195" t="s">
        <v>1187</v>
      </c>
      <c r="L15" s="177"/>
      <c r="M15" s="239"/>
      <c r="N15" s="195" t="s">
        <v>1588</v>
      </c>
      <c r="O15" s="414">
        <v>3207079905</v>
      </c>
      <c r="P15" s="413" t="s">
        <v>1013</v>
      </c>
      <c r="Q15" s="195"/>
      <c r="R15" s="415" t="s">
        <v>1585</v>
      </c>
      <c r="S15" s="415" t="s">
        <v>1585</v>
      </c>
      <c r="T15" s="413">
        <v>2024</v>
      </c>
      <c r="U15" s="195" t="s">
        <v>160</v>
      </c>
      <c r="V15" s="144" t="s">
        <v>210</v>
      </c>
    </row>
    <row r="16" spans="1:22">
      <c r="A16" s="144" t="s">
        <v>1587</v>
      </c>
      <c r="B16" s="323" t="s">
        <v>193</v>
      </c>
      <c r="C16" s="323"/>
      <c r="D16" s="755" t="s">
        <v>2289</v>
      </c>
      <c r="E16" s="755">
        <v>15</v>
      </c>
      <c r="F16" s="755" t="s">
        <v>1057</v>
      </c>
      <c r="G16" s="755" t="s">
        <v>129</v>
      </c>
      <c r="H16" s="894" t="s">
        <v>1014</v>
      </c>
      <c r="I16" s="894" t="s">
        <v>1015</v>
      </c>
      <c r="J16" s="895">
        <v>1000397752</v>
      </c>
      <c r="K16" s="755" t="s">
        <v>1191</v>
      </c>
      <c r="L16" s="765"/>
      <c r="M16" s="757"/>
      <c r="N16" s="755" t="s">
        <v>1588</v>
      </c>
      <c r="O16" s="895">
        <v>3217284218</v>
      </c>
      <c r="P16" s="895" t="s">
        <v>1016</v>
      </c>
      <c r="Q16" s="755"/>
      <c r="R16" s="897" t="s">
        <v>1585</v>
      </c>
      <c r="S16" s="897" t="s">
        <v>1585</v>
      </c>
      <c r="T16" s="894">
        <v>2024</v>
      </c>
      <c r="U16" s="755" t="s">
        <v>166</v>
      </c>
      <c r="V16" s="761" t="s">
        <v>210</v>
      </c>
    </row>
    <row r="17" spans="1:22">
      <c r="A17" s="144" t="s">
        <v>1588</v>
      </c>
      <c r="B17" s="323" t="s">
        <v>1881</v>
      </c>
      <c r="C17" s="323"/>
      <c r="D17" s="196"/>
      <c r="E17" s="196">
        <v>15</v>
      </c>
      <c r="F17" s="196" t="s">
        <v>1057</v>
      </c>
      <c r="G17" s="196" t="s">
        <v>129</v>
      </c>
      <c r="H17" s="419" t="s">
        <v>1014</v>
      </c>
      <c r="I17" s="419" t="s">
        <v>1017</v>
      </c>
      <c r="J17" s="420">
        <v>60373030</v>
      </c>
      <c r="K17" s="196" t="s">
        <v>1191</v>
      </c>
      <c r="L17" s="178"/>
      <c r="M17" s="283"/>
      <c r="N17" s="196" t="s">
        <v>1588</v>
      </c>
      <c r="O17" s="420">
        <v>3128988648</v>
      </c>
      <c r="P17" s="419" t="s">
        <v>1018</v>
      </c>
      <c r="Q17" s="196"/>
      <c r="R17" s="421" t="s">
        <v>1585</v>
      </c>
      <c r="S17" s="421" t="s">
        <v>1585</v>
      </c>
      <c r="T17" s="419">
        <v>2024</v>
      </c>
      <c r="U17" s="196" t="s">
        <v>160</v>
      </c>
      <c r="V17" s="144" t="s">
        <v>210</v>
      </c>
    </row>
    <row r="18" spans="1:22">
      <c r="B18" s="323" t="s">
        <v>1882</v>
      </c>
      <c r="C18" s="323"/>
      <c r="D18" s="422"/>
      <c r="E18" s="196">
        <v>15</v>
      </c>
      <c r="F18" s="196" t="s">
        <v>1057</v>
      </c>
      <c r="G18" s="196" t="s">
        <v>129</v>
      </c>
      <c r="H18" s="419" t="s">
        <v>1014</v>
      </c>
      <c r="I18" s="419" t="s">
        <v>1019</v>
      </c>
      <c r="J18" s="420">
        <v>1017928059</v>
      </c>
      <c r="K18" s="196" t="s">
        <v>1191</v>
      </c>
      <c r="L18" s="178"/>
      <c r="M18" s="283"/>
      <c r="N18" s="196" t="s">
        <v>1588</v>
      </c>
      <c r="O18" s="420">
        <v>3127565855</v>
      </c>
      <c r="P18" s="420" t="s">
        <v>1020</v>
      </c>
      <c r="Q18" s="196"/>
      <c r="R18" s="421" t="s">
        <v>1585</v>
      </c>
      <c r="S18" s="421" t="s">
        <v>1585</v>
      </c>
      <c r="T18" s="419">
        <v>2024</v>
      </c>
      <c r="U18" s="196" t="s">
        <v>160</v>
      </c>
      <c r="V18" s="144" t="s">
        <v>210</v>
      </c>
    </row>
    <row r="19" spans="1:22">
      <c r="A19" s="144" t="s">
        <v>160</v>
      </c>
      <c r="B19" s="323" t="s">
        <v>405</v>
      </c>
      <c r="C19" s="323"/>
      <c r="D19" s="196"/>
      <c r="E19" s="196">
        <v>15</v>
      </c>
      <c r="F19" s="196" t="s">
        <v>1057</v>
      </c>
      <c r="G19" s="196" t="s">
        <v>129</v>
      </c>
      <c r="H19" s="419" t="s">
        <v>1014</v>
      </c>
      <c r="I19" s="419" t="s">
        <v>1021</v>
      </c>
      <c r="J19" s="420">
        <v>8346264</v>
      </c>
      <c r="K19" s="196" t="s">
        <v>1187</v>
      </c>
      <c r="L19" s="178"/>
      <c r="M19" s="283"/>
      <c r="N19" s="196" t="s">
        <v>1588</v>
      </c>
      <c r="O19" s="420">
        <v>3147574714</v>
      </c>
      <c r="P19" s="419" t="s">
        <v>1022</v>
      </c>
      <c r="Q19" s="196"/>
      <c r="R19" s="421" t="s">
        <v>1585</v>
      </c>
      <c r="S19" s="421" t="s">
        <v>1585</v>
      </c>
      <c r="T19" s="419">
        <v>2024</v>
      </c>
      <c r="U19" s="196" t="s">
        <v>160</v>
      </c>
      <c r="V19" s="144" t="s">
        <v>210</v>
      </c>
    </row>
    <row r="20" spans="1:22">
      <c r="A20" s="144" t="s">
        <v>166</v>
      </c>
      <c r="B20" s="323" t="s">
        <v>1883</v>
      </c>
      <c r="C20" s="323"/>
      <c r="D20" s="196"/>
      <c r="E20" s="196">
        <v>15</v>
      </c>
      <c r="F20" s="196" t="s">
        <v>1057</v>
      </c>
      <c r="G20" s="196" t="s">
        <v>129</v>
      </c>
      <c r="H20" s="419" t="s">
        <v>1014</v>
      </c>
      <c r="I20" s="419" t="s">
        <v>1023</v>
      </c>
      <c r="J20" s="420">
        <v>15530481</v>
      </c>
      <c r="K20" s="196" t="s">
        <v>1187</v>
      </c>
      <c r="L20" s="178"/>
      <c r="M20" s="283"/>
      <c r="N20" s="196" t="s">
        <v>1588</v>
      </c>
      <c r="O20" s="420">
        <v>3104457133</v>
      </c>
      <c r="P20" s="420" t="s">
        <v>1024</v>
      </c>
      <c r="Q20" s="196"/>
      <c r="R20" s="421" t="s">
        <v>1585</v>
      </c>
      <c r="S20" s="421" t="s">
        <v>1585</v>
      </c>
      <c r="T20" s="419">
        <v>2024</v>
      </c>
      <c r="U20" s="196" t="s">
        <v>160</v>
      </c>
      <c r="V20" s="144" t="s">
        <v>210</v>
      </c>
    </row>
    <row r="21" spans="1:22">
      <c r="B21" s="323" t="s">
        <v>230</v>
      </c>
      <c r="C21" s="323"/>
      <c r="D21" s="196"/>
      <c r="E21" s="196">
        <v>15</v>
      </c>
      <c r="F21" s="196" t="s">
        <v>1057</v>
      </c>
      <c r="G21" s="196" t="s">
        <v>129</v>
      </c>
      <c r="H21" s="419" t="s">
        <v>1014</v>
      </c>
      <c r="I21" s="419" t="s">
        <v>1025</v>
      </c>
      <c r="J21" s="420">
        <v>42882964</v>
      </c>
      <c r="K21" s="196" t="s">
        <v>1191</v>
      </c>
      <c r="L21" s="178"/>
      <c r="M21" s="283"/>
      <c r="N21" s="196" t="s">
        <v>1588</v>
      </c>
      <c r="O21" s="420">
        <v>3195742150</v>
      </c>
      <c r="P21" s="419" t="s">
        <v>1026</v>
      </c>
      <c r="Q21" s="196"/>
      <c r="R21" s="421" t="s">
        <v>1585</v>
      </c>
      <c r="S21" s="421" t="s">
        <v>1585</v>
      </c>
      <c r="T21" s="419">
        <v>2024</v>
      </c>
      <c r="U21" s="196" t="s">
        <v>160</v>
      </c>
      <c r="V21" s="144" t="s">
        <v>210</v>
      </c>
    </row>
    <row r="22" spans="1:22">
      <c r="A22" s="144" t="s">
        <v>1793</v>
      </c>
      <c r="B22" s="323" t="s">
        <v>1884</v>
      </c>
      <c r="C22" s="323"/>
      <c r="D22" s="755" t="s">
        <v>2289</v>
      </c>
      <c r="E22" s="755">
        <v>15</v>
      </c>
      <c r="F22" s="755" t="s">
        <v>1057</v>
      </c>
      <c r="G22" s="755" t="s">
        <v>129</v>
      </c>
      <c r="H22" s="894" t="s">
        <v>1027</v>
      </c>
      <c r="I22" s="894" t="s">
        <v>1028</v>
      </c>
      <c r="J22" s="895">
        <v>1036642186</v>
      </c>
      <c r="K22" s="755" t="s">
        <v>1187</v>
      </c>
      <c r="L22" s="765"/>
      <c r="M22" s="757"/>
      <c r="N22" s="755" t="s">
        <v>1588</v>
      </c>
      <c r="O22" s="895">
        <v>3137331360</v>
      </c>
      <c r="P22" s="895" t="s">
        <v>1029</v>
      </c>
      <c r="Q22" s="755" t="s">
        <v>1027</v>
      </c>
      <c r="R22" s="897" t="s">
        <v>1585</v>
      </c>
      <c r="S22" s="897" t="s">
        <v>1585</v>
      </c>
      <c r="T22" s="894">
        <v>2024</v>
      </c>
      <c r="U22" s="755" t="s">
        <v>166</v>
      </c>
      <c r="V22" s="761" t="s">
        <v>210</v>
      </c>
    </row>
    <row r="23" spans="1:22">
      <c r="A23" s="144" t="s">
        <v>1161</v>
      </c>
      <c r="B23" s="323" t="s">
        <v>1885</v>
      </c>
      <c r="C23" s="323"/>
      <c r="D23" s="426"/>
      <c r="E23" s="137">
        <v>15</v>
      </c>
      <c r="F23" s="137" t="s">
        <v>1057</v>
      </c>
      <c r="G23" s="137" t="s">
        <v>129</v>
      </c>
      <c r="H23" s="423" t="s">
        <v>1027</v>
      </c>
      <c r="I23" s="423" t="s">
        <v>1030</v>
      </c>
      <c r="J23" s="424">
        <v>43650619</v>
      </c>
      <c r="K23" s="137" t="s">
        <v>1191</v>
      </c>
      <c r="L23" s="179"/>
      <c r="M23" s="286"/>
      <c r="N23" s="137" t="s">
        <v>1588</v>
      </c>
      <c r="O23" s="424">
        <v>3104091864</v>
      </c>
      <c r="P23" s="423" t="s">
        <v>1031</v>
      </c>
      <c r="Q23" s="137" t="s">
        <v>1027</v>
      </c>
      <c r="R23" s="425" t="s">
        <v>1585</v>
      </c>
      <c r="S23" s="425" t="s">
        <v>1585</v>
      </c>
      <c r="T23" s="423">
        <v>2024</v>
      </c>
      <c r="U23" s="137" t="s">
        <v>160</v>
      </c>
      <c r="V23" s="144" t="s">
        <v>210</v>
      </c>
    </row>
    <row r="24" spans="1:22">
      <c r="A24" s="144" t="s">
        <v>1794</v>
      </c>
      <c r="B24" s="323" t="s">
        <v>1886</v>
      </c>
      <c r="C24" s="323"/>
      <c r="D24" s="137"/>
      <c r="E24" s="137">
        <v>15</v>
      </c>
      <c r="F24" s="137" t="s">
        <v>1057</v>
      </c>
      <c r="G24" s="137" t="s">
        <v>129</v>
      </c>
      <c r="H24" s="423" t="s">
        <v>1027</v>
      </c>
      <c r="I24" s="423" t="s">
        <v>1032</v>
      </c>
      <c r="J24" s="424">
        <v>43098456</v>
      </c>
      <c r="K24" s="137" t="s">
        <v>1191</v>
      </c>
      <c r="L24" s="179"/>
      <c r="M24" s="286"/>
      <c r="N24" s="137" t="s">
        <v>1588</v>
      </c>
      <c r="O24" s="424">
        <v>3116229045</v>
      </c>
      <c r="P24" s="424" t="s">
        <v>1033</v>
      </c>
      <c r="Q24" s="137" t="s">
        <v>1027</v>
      </c>
      <c r="R24" s="425" t="s">
        <v>1585</v>
      </c>
      <c r="S24" s="425" t="s">
        <v>1585</v>
      </c>
      <c r="T24" s="423">
        <v>2024</v>
      </c>
      <c r="U24" s="137" t="s">
        <v>160</v>
      </c>
      <c r="V24" s="144" t="s">
        <v>210</v>
      </c>
    </row>
    <row r="25" spans="1:22">
      <c r="A25" s="144" t="s">
        <v>1795</v>
      </c>
      <c r="B25" s="323" t="s">
        <v>1887</v>
      </c>
      <c r="C25" s="323"/>
      <c r="D25" s="137"/>
      <c r="E25" s="137">
        <v>15</v>
      </c>
      <c r="F25" s="137" t="s">
        <v>1057</v>
      </c>
      <c r="G25" s="137" t="s">
        <v>129</v>
      </c>
      <c r="H25" s="423" t="s">
        <v>1027</v>
      </c>
      <c r="I25" s="423" t="s">
        <v>1034</v>
      </c>
      <c r="J25" s="424">
        <v>1000537709</v>
      </c>
      <c r="K25" s="137" t="s">
        <v>1191</v>
      </c>
      <c r="L25" s="179"/>
      <c r="M25" s="286"/>
      <c r="N25" s="137" t="s">
        <v>1588</v>
      </c>
      <c r="O25" s="424">
        <v>3153267832</v>
      </c>
      <c r="P25" s="423" t="s">
        <v>1035</v>
      </c>
      <c r="Q25" s="137" t="s">
        <v>1027</v>
      </c>
      <c r="R25" s="425" t="s">
        <v>1585</v>
      </c>
      <c r="S25" s="425" t="s">
        <v>1585</v>
      </c>
      <c r="T25" s="423">
        <v>2024</v>
      </c>
      <c r="U25" s="137" t="s">
        <v>160</v>
      </c>
      <c r="V25" s="144" t="s">
        <v>210</v>
      </c>
    </row>
    <row r="26" spans="1:22">
      <c r="A26" s="144" t="s">
        <v>1796</v>
      </c>
      <c r="B26" s="323" t="s">
        <v>1888</v>
      </c>
      <c r="C26" s="323"/>
      <c r="D26" s="137"/>
      <c r="E26" s="137">
        <v>15</v>
      </c>
      <c r="F26" s="137" t="s">
        <v>1057</v>
      </c>
      <c r="G26" s="137" t="s">
        <v>129</v>
      </c>
      <c r="H26" s="423" t="s">
        <v>1027</v>
      </c>
      <c r="I26" s="423" t="s">
        <v>1036</v>
      </c>
      <c r="J26" s="424">
        <v>101793372</v>
      </c>
      <c r="K26" s="137" t="s">
        <v>1191</v>
      </c>
      <c r="L26" s="179"/>
      <c r="M26" s="286"/>
      <c r="N26" s="137" t="s">
        <v>1588</v>
      </c>
      <c r="O26" s="424">
        <v>3024451268</v>
      </c>
      <c r="P26" s="424" t="s">
        <v>1037</v>
      </c>
      <c r="Q26" s="137" t="s">
        <v>1027</v>
      </c>
      <c r="R26" s="425" t="s">
        <v>1585</v>
      </c>
      <c r="S26" s="425" t="s">
        <v>1585</v>
      </c>
      <c r="T26" s="423">
        <v>2024</v>
      </c>
      <c r="U26" s="137" t="s">
        <v>160</v>
      </c>
      <c r="V26" s="144" t="s">
        <v>210</v>
      </c>
    </row>
    <row r="27" spans="1:22">
      <c r="A27" s="144" t="s">
        <v>1070</v>
      </c>
      <c r="B27" s="323" t="s">
        <v>1889</v>
      </c>
      <c r="C27" s="323"/>
      <c r="D27" s="137"/>
      <c r="E27" s="137">
        <v>15</v>
      </c>
      <c r="F27" s="137" t="s">
        <v>1057</v>
      </c>
      <c r="G27" s="137" t="s">
        <v>129</v>
      </c>
      <c r="H27" s="423" t="s">
        <v>1027</v>
      </c>
      <c r="I27" s="423" t="s">
        <v>1038</v>
      </c>
      <c r="J27" s="424">
        <v>1036613339</v>
      </c>
      <c r="K27" s="137" t="s">
        <v>1187</v>
      </c>
      <c r="L27" s="179"/>
      <c r="M27" s="286"/>
      <c r="N27" s="137" t="s">
        <v>1588</v>
      </c>
      <c r="O27" s="424" t="s">
        <v>1039</v>
      </c>
      <c r="P27" s="423" t="s">
        <v>1040</v>
      </c>
      <c r="Q27" s="137" t="s">
        <v>1027</v>
      </c>
      <c r="R27" s="425" t="s">
        <v>1585</v>
      </c>
      <c r="S27" s="425" t="s">
        <v>1585</v>
      </c>
      <c r="T27" s="423">
        <v>2024</v>
      </c>
      <c r="U27" s="137" t="s">
        <v>160</v>
      </c>
      <c r="V27" s="144" t="s">
        <v>210</v>
      </c>
    </row>
    <row r="28" spans="1:22">
      <c r="A28" s="144" t="s">
        <v>1057</v>
      </c>
      <c r="B28" s="323" t="s">
        <v>1890</v>
      </c>
      <c r="C28" s="323"/>
      <c r="D28" s="137"/>
      <c r="E28" s="137">
        <v>15</v>
      </c>
      <c r="F28" s="137" t="s">
        <v>1057</v>
      </c>
      <c r="G28" s="137" t="s">
        <v>129</v>
      </c>
      <c r="H28" s="423" t="s">
        <v>1027</v>
      </c>
      <c r="I28" s="423" t="s">
        <v>1041</v>
      </c>
      <c r="J28" s="424">
        <v>1036687096</v>
      </c>
      <c r="K28" s="137" t="s">
        <v>1191</v>
      </c>
      <c r="L28" s="179"/>
      <c r="M28" s="286"/>
      <c r="N28" s="137" t="s">
        <v>1588</v>
      </c>
      <c r="O28" s="424">
        <v>3243370387</v>
      </c>
      <c r="P28" s="424" t="s">
        <v>1042</v>
      </c>
      <c r="Q28" s="137" t="s">
        <v>1027</v>
      </c>
      <c r="R28" s="425" t="s">
        <v>1585</v>
      </c>
      <c r="S28" s="425" t="s">
        <v>1585</v>
      </c>
      <c r="T28" s="423">
        <v>2024</v>
      </c>
      <c r="U28" s="137" t="s">
        <v>160</v>
      </c>
      <c r="V28" s="144" t="s">
        <v>210</v>
      </c>
    </row>
    <row r="29" spans="1:22">
      <c r="A29" s="144" t="s">
        <v>1027</v>
      </c>
      <c r="B29" s="323" t="s">
        <v>1891</v>
      </c>
      <c r="C29" s="323"/>
      <c r="D29" s="755" t="s">
        <v>2289</v>
      </c>
      <c r="E29" s="755">
        <v>15</v>
      </c>
      <c r="F29" s="755" t="s">
        <v>1057</v>
      </c>
      <c r="G29" s="755" t="s">
        <v>129</v>
      </c>
      <c r="H29" s="894" t="s">
        <v>1043</v>
      </c>
      <c r="I29" s="894" t="s">
        <v>1044</v>
      </c>
      <c r="J29" s="895">
        <v>71251692</v>
      </c>
      <c r="K29" s="755" t="s">
        <v>1187</v>
      </c>
      <c r="L29" s="765"/>
      <c r="M29" s="757"/>
      <c r="N29" s="755" t="s">
        <v>1588</v>
      </c>
      <c r="O29" s="895">
        <v>3115608394</v>
      </c>
      <c r="P29" s="894" t="s">
        <v>1045</v>
      </c>
      <c r="Q29" s="755"/>
      <c r="R29" s="897" t="s">
        <v>1585</v>
      </c>
      <c r="S29" s="897" t="s">
        <v>1585</v>
      </c>
      <c r="T29" s="894">
        <v>2024</v>
      </c>
      <c r="U29" s="755" t="s">
        <v>166</v>
      </c>
      <c r="V29" s="761" t="s">
        <v>210</v>
      </c>
    </row>
    <row r="30" spans="1:22">
      <c r="A30" s="144" t="s">
        <v>1096</v>
      </c>
      <c r="B30" s="323" t="s">
        <v>1892</v>
      </c>
      <c r="C30" s="323"/>
      <c r="D30" s="200"/>
      <c r="E30" s="200">
        <v>15</v>
      </c>
      <c r="F30" s="200" t="s">
        <v>1057</v>
      </c>
      <c r="G30" s="200" t="s">
        <v>129</v>
      </c>
      <c r="H30" s="408" t="s">
        <v>1043</v>
      </c>
      <c r="I30" s="408" t="s">
        <v>1046</v>
      </c>
      <c r="J30" s="409">
        <v>98517306</v>
      </c>
      <c r="K30" s="200" t="s">
        <v>1187</v>
      </c>
      <c r="L30" s="191"/>
      <c r="M30" s="238"/>
      <c r="N30" s="200" t="s">
        <v>1588</v>
      </c>
      <c r="O30" s="409">
        <v>3016723421</v>
      </c>
      <c r="P30" s="409" t="s">
        <v>1047</v>
      </c>
      <c r="Q30" s="200"/>
      <c r="R30" s="410" t="s">
        <v>1585</v>
      </c>
      <c r="S30" s="410" t="s">
        <v>1585</v>
      </c>
      <c r="T30" s="408">
        <v>2024</v>
      </c>
      <c r="U30" s="200" t="s">
        <v>160</v>
      </c>
      <c r="V30" s="144" t="s">
        <v>210</v>
      </c>
    </row>
    <row r="31" spans="1:22">
      <c r="B31" s="323" t="s">
        <v>1893</v>
      </c>
      <c r="C31" s="323"/>
      <c r="D31" s="200"/>
      <c r="E31" s="200">
        <v>15</v>
      </c>
      <c r="F31" s="200" t="s">
        <v>1057</v>
      </c>
      <c r="G31" s="200" t="s">
        <v>129</v>
      </c>
      <c r="H31" s="408" t="s">
        <v>1043</v>
      </c>
      <c r="I31" s="408" t="s">
        <v>1048</v>
      </c>
      <c r="J31" s="409">
        <v>42765843</v>
      </c>
      <c r="K31" s="200" t="s">
        <v>1191</v>
      </c>
      <c r="L31" s="191"/>
      <c r="M31" s="238"/>
      <c r="N31" s="200" t="s">
        <v>1588</v>
      </c>
      <c r="O31" s="409">
        <v>3135298076</v>
      </c>
      <c r="P31" s="408" t="s">
        <v>1049</v>
      </c>
      <c r="Q31" s="200"/>
      <c r="R31" s="410" t="s">
        <v>1585</v>
      </c>
      <c r="S31" s="410" t="s">
        <v>1585</v>
      </c>
      <c r="T31" s="408">
        <v>2024</v>
      </c>
      <c r="U31" s="200" t="s">
        <v>160</v>
      </c>
      <c r="V31" s="144" t="s">
        <v>210</v>
      </c>
    </row>
    <row r="32" spans="1:22">
      <c r="B32" s="323" t="s">
        <v>1894</v>
      </c>
      <c r="C32" s="323"/>
      <c r="D32" s="200"/>
      <c r="E32" s="200">
        <v>15</v>
      </c>
      <c r="F32" s="200" t="s">
        <v>1057</v>
      </c>
      <c r="G32" s="200" t="s">
        <v>129</v>
      </c>
      <c r="H32" s="408" t="s">
        <v>1043</v>
      </c>
      <c r="I32" s="408" t="s">
        <v>1050</v>
      </c>
      <c r="J32" s="409">
        <v>98529623</v>
      </c>
      <c r="K32" s="200" t="s">
        <v>1187</v>
      </c>
      <c r="L32" s="191"/>
      <c r="M32" s="238"/>
      <c r="N32" s="200" t="s">
        <v>1588</v>
      </c>
      <c r="O32" s="409">
        <v>3128752727</v>
      </c>
      <c r="P32" s="409" t="s">
        <v>1051</v>
      </c>
      <c r="Q32" s="200"/>
      <c r="R32" s="410" t="s">
        <v>1585</v>
      </c>
      <c r="S32" s="410" t="s">
        <v>1585</v>
      </c>
      <c r="T32" s="408">
        <v>2024</v>
      </c>
      <c r="U32" s="200" t="s">
        <v>160</v>
      </c>
      <c r="V32" s="144" t="s">
        <v>210</v>
      </c>
    </row>
    <row r="33" spans="2:22">
      <c r="B33" s="323" t="s">
        <v>1895</v>
      </c>
      <c r="C33" s="323"/>
      <c r="D33" s="200"/>
      <c r="E33" s="200">
        <v>15</v>
      </c>
      <c r="F33" s="200" t="s">
        <v>1057</v>
      </c>
      <c r="G33" s="200" t="s">
        <v>129</v>
      </c>
      <c r="H33" s="408" t="s">
        <v>1043</v>
      </c>
      <c r="I33" s="408" t="s">
        <v>1052</v>
      </c>
      <c r="J33" s="409">
        <v>42764432</v>
      </c>
      <c r="K33" s="200" t="s">
        <v>1191</v>
      </c>
      <c r="L33" s="191"/>
      <c r="M33" s="238"/>
      <c r="N33" s="200" t="s">
        <v>1588</v>
      </c>
      <c r="O33" s="409">
        <v>3178932936</v>
      </c>
      <c r="P33" s="408" t="s">
        <v>1053</v>
      </c>
      <c r="Q33" s="200"/>
      <c r="R33" s="410" t="s">
        <v>1585</v>
      </c>
      <c r="S33" s="410" t="s">
        <v>1585</v>
      </c>
      <c r="T33" s="408">
        <v>2024</v>
      </c>
      <c r="U33" s="200" t="s">
        <v>160</v>
      </c>
      <c r="V33" s="144" t="s">
        <v>210</v>
      </c>
    </row>
    <row r="34" spans="2:22">
      <c r="B34" s="323" t="s">
        <v>1896</v>
      </c>
      <c r="C34" s="323"/>
      <c r="D34" s="427"/>
      <c r="E34" s="200">
        <v>15</v>
      </c>
      <c r="F34" s="200" t="s">
        <v>1057</v>
      </c>
      <c r="G34" s="200" t="s">
        <v>129</v>
      </c>
      <c r="H34" s="408" t="s">
        <v>1043</v>
      </c>
      <c r="I34" s="408" t="s">
        <v>1054</v>
      </c>
      <c r="J34" s="409">
        <v>42751460</v>
      </c>
      <c r="K34" s="200" t="s">
        <v>1191</v>
      </c>
      <c r="L34" s="191"/>
      <c r="M34" s="238"/>
      <c r="N34" s="200" t="s">
        <v>1588</v>
      </c>
      <c r="O34" s="409"/>
      <c r="P34" s="409" t="s">
        <v>1049</v>
      </c>
      <c r="Q34" s="200"/>
      <c r="R34" s="410" t="s">
        <v>1585</v>
      </c>
      <c r="S34" s="410" t="s">
        <v>1585</v>
      </c>
      <c r="T34" s="408">
        <v>2024</v>
      </c>
      <c r="U34" s="200" t="s">
        <v>160</v>
      </c>
      <c r="V34" s="144" t="s">
        <v>210</v>
      </c>
    </row>
    <row r="35" spans="2:22">
      <c r="B35" s="144" t="s">
        <v>1899</v>
      </c>
      <c r="D35" s="200"/>
      <c r="E35" s="200">
        <v>15</v>
      </c>
      <c r="F35" s="200" t="s">
        <v>1057</v>
      </c>
      <c r="G35" s="200" t="s">
        <v>129</v>
      </c>
      <c r="H35" s="408" t="s">
        <v>1043</v>
      </c>
      <c r="I35" s="408" t="s">
        <v>1055</v>
      </c>
      <c r="J35" s="409">
        <v>42784068</v>
      </c>
      <c r="K35" s="200" t="s">
        <v>1191</v>
      </c>
      <c r="L35" s="191"/>
      <c r="M35" s="238"/>
      <c r="N35" s="200" t="s">
        <v>1588</v>
      </c>
      <c r="O35" s="409">
        <v>3146218808</v>
      </c>
      <c r="P35" s="408" t="s">
        <v>1056</v>
      </c>
      <c r="Q35" s="200"/>
      <c r="R35" s="410" t="s">
        <v>1585</v>
      </c>
      <c r="S35" s="410" t="s">
        <v>1585</v>
      </c>
      <c r="T35" s="408">
        <v>2024</v>
      </c>
      <c r="U35" s="200" t="s">
        <v>160</v>
      </c>
      <c r="V35" s="144" t="s">
        <v>210</v>
      </c>
    </row>
    <row r="36" spans="2:22">
      <c r="B36" s="144" t="s">
        <v>1900</v>
      </c>
      <c r="D36" s="755" t="s">
        <v>2289</v>
      </c>
      <c r="E36" s="755">
        <v>15</v>
      </c>
      <c r="F36" s="755" t="s">
        <v>1057</v>
      </c>
      <c r="G36" s="755" t="s">
        <v>129</v>
      </c>
      <c r="H36" s="894" t="s">
        <v>1057</v>
      </c>
      <c r="I36" s="894" t="s">
        <v>1058</v>
      </c>
      <c r="J36" s="895">
        <v>1036604052</v>
      </c>
      <c r="K36" s="755" t="s">
        <v>1191</v>
      </c>
      <c r="L36" s="765"/>
      <c r="M36" s="757"/>
      <c r="N36" s="755" t="s">
        <v>1588</v>
      </c>
      <c r="O36" s="895">
        <v>3188732079</v>
      </c>
      <c r="P36" s="895" t="s">
        <v>1059</v>
      </c>
      <c r="Q36" s="755" t="s">
        <v>1057</v>
      </c>
      <c r="R36" s="897" t="s">
        <v>1585</v>
      </c>
      <c r="S36" s="897" t="s">
        <v>1585</v>
      </c>
      <c r="T36" s="894">
        <v>2024</v>
      </c>
      <c r="U36" s="755" t="s">
        <v>166</v>
      </c>
      <c r="V36" s="761" t="s">
        <v>210</v>
      </c>
    </row>
    <row r="37" spans="2:22">
      <c r="B37" s="140" t="s">
        <v>1898</v>
      </c>
      <c r="C37" s="140"/>
      <c r="D37" s="195"/>
      <c r="E37" s="195">
        <v>15</v>
      </c>
      <c r="F37" s="195" t="s">
        <v>1057</v>
      </c>
      <c r="G37" s="195" t="s">
        <v>129</v>
      </c>
      <c r="H37" s="413" t="s">
        <v>1057</v>
      </c>
      <c r="I37" s="413" t="s">
        <v>1060</v>
      </c>
      <c r="J37" s="414">
        <v>1015071372</v>
      </c>
      <c r="K37" s="195" t="s">
        <v>1187</v>
      </c>
      <c r="L37" s="177"/>
      <c r="M37" s="239"/>
      <c r="N37" s="195" t="s">
        <v>1588</v>
      </c>
      <c r="O37" s="414">
        <v>3206841357</v>
      </c>
      <c r="P37" s="413" t="s">
        <v>1061</v>
      </c>
      <c r="Q37" s="195" t="s">
        <v>1057</v>
      </c>
      <c r="R37" s="415" t="s">
        <v>1585</v>
      </c>
      <c r="S37" s="415" t="s">
        <v>1585</v>
      </c>
      <c r="T37" s="413">
        <v>2024</v>
      </c>
      <c r="U37" s="195" t="s">
        <v>160</v>
      </c>
      <c r="V37" s="144" t="s">
        <v>210</v>
      </c>
    </row>
    <row r="38" spans="2:22">
      <c r="B38" s="144" t="s">
        <v>218</v>
      </c>
      <c r="D38" s="195"/>
      <c r="E38" s="195">
        <v>15</v>
      </c>
      <c r="F38" s="195" t="s">
        <v>1057</v>
      </c>
      <c r="G38" s="195" t="s">
        <v>129</v>
      </c>
      <c r="H38" s="413" t="s">
        <v>1057</v>
      </c>
      <c r="I38" s="413" t="s">
        <v>1062</v>
      </c>
      <c r="J38" s="414">
        <v>42759530</v>
      </c>
      <c r="K38" s="195" t="s">
        <v>1191</v>
      </c>
      <c r="L38" s="177"/>
      <c r="M38" s="239"/>
      <c r="N38" s="195" t="s">
        <v>1588</v>
      </c>
      <c r="O38" s="414">
        <v>3023043746</v>
      </c>
      <c r="P38" s="414" t="s">
        <v>1063</v>
      </c>
      <c r="Q38" s="195" t="s">
        <v>1057</v>
      </c>
      <c r="R38" s="415" t="s">
        <v>1585</v>
      </c>
      <c r="S38" s="415" t="s">
        <v>1585</v>
      </c>
      <c r="T38" s="413">
        <v>2024</v>
      </c>
      <c r="U38" s="195" t="s">
        <v>160</v>
      </c>
      <c r="V38" s="144" t="s">
        <v>210</v>
      </c>
    </row>
    <row r="39" spans="2:22">
      <c r="B39" s="144" t="s">
        <v>1585</v>
      </c>
      <c r="D39" s="195"/>
      <c r="E39" s="195">
        <v>15</v>
      </c>
      <c r="F39" s="195" t="s">
        <v>1057</v>
      </c>
      <c r="G39" s="195" t="s">
        <v>129</v>
      </c>
      <c r="H39" s="413" t="s">
        <v>1057</v>
      </c>
      <c r="I39" s="413" t="s">
        <v>1064</v>
      </c>
      <c r="J39" s="414">
        <v>1027804224</v>
      </c>
      <c r="K39" s="195" t="s">
        <v>1187</v>
      </c>
      <c r="L39" s="177"/>
      <c r="M39" s="239"/>
      <c r="N39" s="195" t="s">
        <v>1588</v>
      </c>
      <c r="O39" s="414">
        <v>3136216147</v>
      </c>
      <c r="P39" s="413" t="s">
        <v>1065</v>
      </c>
      <c r="Q39" s="195" t="s">
        <v>1057</v>
      </c>
      <c r="R39" s="415" t="s">
        <v>1585</v>
      </c>
      <c r="S39" s="415" t="s">
        <v>1585</v>
      </c>
      <c r="T39" s="413">
        <v>2024</v>
      </c>
      <c r="U39" s="195" t="s">
        <v>160</v>
      </c>
      <c r="V39" s="144" t="s">
        <v>210</v>
      </c>
    </row>
    <row r="40" spans="2:22">
      <c r="D40" s="195"/>
      <c r="E40" s="195">
        <v>15</v>
      </c>
      <c r="F40" s="195" t="s">
        <v>1057</v>
      </c>
      <c r="G40" s="195" t="s">
        <v>129</v>
      </c>
      <c r="H40" s="413" t="s">
        <v>1057</v>
      </c>
      <c r="I40" s="413" t="s">
        <v>1066</v>
      </c>
      <c r="J40" s="414">
        <v>1128455947</v>
      </c>
      <c r="K40" s="195" t="s">
        <v>1187</v>
      </c>
      <c r="L40" s="177"/>
      <c r="M40" s="239"/>
      <c r="N40" s="195" t="s">
        <v>1588</v>
      </c>
      <c r="O40" s="414">
        <v>3008316139</v>
      </c>
      <c r="P40" s="414" t="s">
        <v>1067</v>
      </c>
      <c r="Q40" s="195" t="s">
        <v>1057</v>
      </c>
      <c r="R40" s="415" t="s">
        <v>1585</v>
      </c>
      <c r="S40" s="415" t="s">
        <v>1585</v>
      </c>
      <c r="T40" s="413">
        <v>2024</v>
      </c>
      <c r="U40" s="195" t="s">
        <v>160</v>
      </c>
      <c r="V40" s="144" t="s">
        <v>210</v>
      </c>
    </row>
    <row r="41" spans="2:22">
      <c r="D41" s="195"/>
      <c r="E41" s="195">
        <v>15</v>
      </c>
      <c r="F41" s="195" t="s">
        <v>1057</v>
      </c>
      <c r="G41" s="195" t="s">
        <v>129</v>
      </c>
      <c r="H41" s="413" t="s">
        <v>1057</v>
      </c>
      <c r="I41" s="413" t="s">
        <v>1068</v>
      </c>
      <c r="J41" s="414">
        <v>10934219</v>
      </c>
      <c r="K41" s="195" t="s">
        <v>1187</v>
      </c>
      <c r="L41" s="177"/>
      <c r="M41" s="239"/>
      <c r="N41" s="195" t="s">
        <v>1588</v>
      </c>
      <c r="O41" s="414">
        <v>3045522137</v>
      </c>
      <c r="P41" s="413" t="s">
        <v>1069</v>
      </c>
      <c r="Q41" s="195" t="s">
        <v>1057</v>
      </c>
      <c r="R41" s="415" t="s">
        <v>1585</v>
      </c>
      <c r="S41" s="415" t="s">
        <v>1585</v>
      </c>
      <c r="T41" s="413">
        <v>2024</v>
      </c>
      <c r="U41" s="195" t="s">
        <v>160</v>
      </c>
      <c r="V41" s="144" t="s">
        <v>210</v>
      </c>
    </row>
    <row r="42" spans="2:22">
      <c r="D42" s="755" t="s">
        <v>2289</v>
      </c>
      <c r="E42" s="755">
        <v>15</v>
      </c>
      <c r="F42" s="755" t="s">
        <v>1057</v>
      </c>
      <c r="G42" s="755" t="s">
        <v>129</v>
      </c>
      <c r="H42" s="894" t="s">
        <v>1070</v>
      </c>
      <c r="I42" s="894" t="s">
        <v>1071</v>
      </c>
      <c r="J42" s="895">
        <v>71601092</v>
      </c>
      <c r="K42" s="755" t="s">
        <v>1187</v>
      </c>
      <c r="L42" s="765"/>
      <c r="M42" s="757"/>
      <c r="N42" s="755" t="s">
        <v>1588</v>
      </c>
      <c r="O42" s="895">
        <v>3117051767</v>
      </c>
      <c r="P42" s="895" t="s">
        <v>1072</v>
      </c>
      <c r="Q42" s="755" t="s">
        <v>1070</v>
      </c>
      <c r="R42" s="897" t="s">
        <v>1585</v>
      </c>
      <c r="S42" s="897" t="s">
        <v>1585</v>
      </c>
      <c r="T42" s="894">
        <v>2024</v>
      </c>
      <c r="U42" s="755" t="s">
        <v>166</v>
      </c>
      <c r="V42" s="761" t="s">
        <v>210</v>
      </c>
    </row>
    <row r="43" spans="2:22">
      <c r="D43" s="196"/>
      <c r="E43" s="196">
        <v>15</v>
      </c>
      <c r="F43" s="196" t="s">
        <v>1057</v>
      </c>
      <c r="G43" s="196" t="s">
        <v>129</v>
      </c>
      <c r="H43" s="419" t="s">
        <v>1070</v>
      </c>
      <c r="I43" s="419" t="s">
        <v>1073</v>
      </c>
      <c r="J43" s="420">
        <v>43162992</v>
      </c>
      <c r="K43" s="196" t="s">
        <v>1191</v>
      </c>
      <c r="L43" s="178"/>
      <c r="M43" s="283"/>
      <c r="N43" s="196" t="s">
        <v>1588</v>
      </c>
      <c r="O43" s="420">
        <v>3165876058</v>
      </c>
      <c r="P43" s="419" t="s">
        <v>1074</v>
      </c>
      <c r="Q43" s="196" t="s">
        <v>1070</v>
      </c>
      <c r="R43" s="421" t="s">
        <v>1585</v>
      </c>
      <c r="S43" s="421" t="s">
        <v>1585</v>
      </c>
      <c r="T43" s="419">
        <v>2024</v>
      </c>
      <c r="U43" s="196" t="s">
        <v>160</v>
      </c>
      <c r="V43" s="144" t="s">
        <v>210</v>
      </c>
    </row>
    <row r="44" spans="2:22">
      <c r="D44" s="196"/>
      <c r="E44" s="196">
        <v>15</v>
      </c>
      <c r="F44" s="196" t="s">
        <v>1057</v>
      </c>
      <c r="G44" s="196" t="s">
        <v>129</v>
      </c>
      <c r="H44" s="419" t="s">
        <v>1070</v>
      </c>
      <c r="I44" s="419" t="s">
        <v>1075</v>
      </c>
      <c r="J44" s="420">
        <v>1152449133</v>
      </c>
      <c r="K44" s="196" t="s">
        <v>1187</v>
      </c>
      <c r="L44" s="178"/>
      <c r="M44" s="283"/>
      <c r="N44" s="196" t="s">
        <v>1588</v>
      </c>
      <c r="O44" s="420">
        <v>3116273098</v>
      </c>
      <c r="P44" s="420" t="s">
        <v>1076</v>
      </c>
      <c r="Q44" s="196" t="s">
        <v>1070</v>
      </c>
      <c r="R44" s="421" t="s">
        <v>1585</v>
      </c>
      <c r="S44" s="421" t="s">
        <v>1585</v>
      </c>
      <c r="T44" s="419">
        <v>2024</v>
      </c>
      <c r="U44" s="196" t="s">
        <v>160</v>
      </c>
      <c r="V44" s="144" t="s">
        <v>210</v>
      </c>
    </row>
    <row r="45" spans="2:22">
      <c r="D45" s="196"/>
      <c r="E45" s="196">
        <v>15</v>
      </c>
      <c r="F45" s="196" t="s">
        <v>1057</v>
      </c>
      <c r="G45" s="196" t="s">
        <v>129</v>
      </c>
      <c r="H45" s="419" t="s">
        <v>1070</v>
      </c>
      <c r="I45" s="419" t="s">
        <v>1077</v>
      </c>
      <c r="J45" s="420">
        <v>1034993444</v>
      </c>
      <c r="K45" s="196" t="s">
        <v>1191</v>
      </c>
      <c r="L45" s="178"/>
      <c r="M45" s="283"/>
      <c r="N45" s="196" t="s">
        <v>1588</v>
      </c>
      <c r="O45" s="420">
        <v>3001037609</v>
      </c>
      <c r="P45" s="419" t="s">
        <v>1078</v>
      </c>
      <c r="Q45" s="196" t="s">
        <v>1070</v>
      </c>
      <c r="R45" s="421" t="s">
        <v>1585</v>
      </c>
      <c r="S45" s="421" t="s">
        <v>1585</v>
      </c>
      <c r="T45" s="419">
        <v>2024</v>
      </c>
      <c r="U45" s="196" t="s">
        <v>160</v>
      </c>
      <c r="V45" s="144" t="s">
        <v>210</v>
      </c>
    </row>
    <row r="46" spans="2:22">
      <c r="D46" s="196"/>
      <c r="E46" s="196">
        <v>15</v>
      </c>
      <c r="F46" s="196" t="s">
        <v>1057</v>
      </c>
      <c r="G46" s="196" t="s">
        <v>129</v>
      </c>
      <c r="H46" s="419" t="s">
        <v>1070</v>
      </c>
      <c r="I46" s="419" t="s">
        <v>1079</v>
      </c>
      <c r="J46" s="420">
        <v>42791596</v>
      </c>
      <c r="K46" s="196" t="s">
        <v>1191</v>
      </c>
      <c r="L46" s="178"/>
      <c r="M46" s="283"/>
      <c r="N46" s="196" t="s">
        <v>1588</v>
      </c>
      <c r="O46" s="420">
        <v>3043621738</v>
      </c>
      <c r="P46" s="420" t="s">
        <v>1080</v>
      </c>
      <c r="Q46" s="196" t="s">
        <v>1070</v>
      </c>
      <c r="R46" s="421" t="s">
        <v>1585</v>
      </c>
      <c r="S46" s="421" t="s">
        <v>1585</v>
      </c>
      <c r="T46" s="419">
        <v>2024</v>
      </c>
      <c r="U46" s="196" t="s">
        <v>160</v>
      </c>
      <c r="V46" s="144" t="s">
        <v>210</v>
      </c>
    </row>
    <row r="47" spans="2:22">
      <c r="D47" s="196"/>
      <c r="E47" s="196">
        <v>15</v>
      </c>
      <c r="F47" s="196" t="s">
        <v>1057</v>
      </c>
      <c r="G47" s="196" t="s">
        <v>129</v>
      </c>
      <c r="H47" s="419" t="s">
        <v>1070</v>
      </c>
      <c r="I47" s="419" t="s">
        <v>1081</v>
      </c>
      <c r="J47" s="420">
        <v>3507635</v>
      </c>
      <c r="K47" s="196" t="s">
        <v>1187</v>
      </c>
      <c r="L47" s="178"/>
      <c r="M47" s="283"/>
      <c r="N47" s="196" t="s">
        <v>1588</v>
      </c>
      <c r="O47" s="420">
        <v>3147907160</v>
      </c>
      <c r="P47" s="419" t="s">
        <v>1082</v>
      </c>
      <c r="Q47" s="196" t="s">
        <v>1070</v>
      </c>
      <c r="R47" s="421" t="s">
        <v>1585</v>
      </c>
      <c r="S47" s="421" t="s">
        <v>1585</v>
      </c>
      <c r="T47" s="419">
        <v>2024</v>
      </c>
      <c r="U47" s="196" t="s">
        <v>160</v>
      </c>
      <c r="V47" s="144" t="s">
        <v>210</v>
      </c>
    </row>
    <row r="48" spans="2:22">
      <c r="D48" s="755" t="s">
        <v>2289</v>
      </c>
      <c r="E48" s="755">
        <v>15</v>
      </c>
      <c r="F48" s="755" t="s">
        <v>1057</v>
      </c>
      <c r="G48" s="755" t="s">
        <v>129</v>
      </c>
      <c r="H48" s="894" t="s">
        <v>1083</v>
      </c>
      <c r="I48" s="894" t="s">
        <v>1084</v>
      </c>
      <c r="J48" s="895">
        <v>5913859</v>
      </c>
      <c r="K48" s="755" t="s">
        <v>1187</v>
      </c>
      <c r="L48" s="765"/>
      <c r="M48" s="757"/>
      <c r="N48" s="755" t="s">
        <v>1588</v>
      </c>
      <c r="O48" s="895">
        <v>3173233348</v>
      </c>
      <c r="P48" s="895" t="s">
        <v>1085</v>
      </c>
      <c r="Q48" s="755"/>
      <c r="R48" s="897" t="s">
        <v>1585</v>
      </c>
      <c r="S48" s="897" t="s">
        <v>1585</v>
      </c>
      <c r="T48" s="894">
        <v>2024</v>
      </c>
      <c r="U48" s="755" t="s">
        <v>166</v>
      </c>
      <c r="V48" s="761" t="s">
        <v>210</v>
      </c>
    </row>
    <row r="49" spans="4:22">
      <c r="D49" s="137"/>
      <c r="E49" s="137">
        <v>15</v>
      </c>
      <c r="F49" s="137" t="s">
        <v>1057</v>
      </c>
      <c r="G49" s="137" t="s">
        <v>129</v>
      </c>
      <c r="H49" s="423" t="s">
        <v>1083</v>
      </c>
      <c r="I49" s="423" t="s">
        <v>1086</v>
      </c>
      <c r="J49" s="424">
        <v>1033257280</v>
      </c>
      <c r="K49" s="137" t="s">
        <v>1191</v>
      </c>
      <c r="L49" s="179"/>
      <c r="M49" s="286"/>
      <c r="N49" s="137" t="s">
        <v>1588</v>
      </c>
      <c r="O49" s="424">
        <v>3004421733</v>
      </c>
      <c r="P49" s="423" t="s">
        <v>1087</v>
      </c>
      <c r="Q49" s="137"/>
      <c r="R49" s="425" t="s">
        <v>1585</v>
      </c>
      <c r="S49" s="425" t="s">
        <v>1585</v>
      </c>
      <c r="T49" s="423">
        <v>2024</v>
      </c>
      <c r="U49" s="137" t="s">
        <v>160</v>
      </c>
      <c r="V49" s="144" t="s">
        <v>210</v>
      </c>
    </row>
    <row r="50" spans="4:22">
      <c r="D50" s="137"/>
      <c r="E50" s="137">
        <v>15</v>
      </c>
      <c r="F50" s="137" t="s">
        <v>1057</v>
      </c>
      <c r="G50" s="137" t="s">
        <v>129</v>
      </c>
      <c r="H50" s="423" t="s">
        <v>1083</v>
      </c>
      <c r="I50" s="423" t="s">
        <v>1088</v>
      </c>
      <c r="J50" s="424">
        <v>1023523441</v>
      </c>
      <c r="K50" s="137" t="s">
        <v>1191</v>
      </c>
      <c r="L50" s="179"/>
      <c r="M50" s="286"/>
      <c r="N50" s="137" t="s">
        <v>1588</v>
      </c>
      <c r="O50" s="424">
        <v>3008222101</v>
      </c>
      <c r="P50" s="424" t="s">
        <v>1089</v>
      </c>
      <c r="Q50" s="137"/>
      <c r="R50" s="425" t="s">
        <v>1585</v>
      </c>
      <c r="S50" s="425" t="s">
        <v>1585</v>
      </c>
      <c r="T50" s="423">
        <v>2024</v>
      </c>
      <c r="U50" s="137" t="s">
        <v>160</v>
      </c>
      <c r="V50" s="144" t="s">
        <v>210</v>
      </c>
    </row>
    <row r="51" spans="4:22">
      <c r="D51" s="137"/>
      <c r="E51" s="137">
        <v>15</v>
      </c>
      <c r="F51" s="137" t="s">
        <v>1057</v>
      </c>
      <c r="G51" s="137" t="s">
        <v>129</v>
      </c>
      <c r="H51" s="423" t="s">
        <v>1083</v>
      </c>
      <c r="I51" s="423" t="s">
        <v>1090</v>
      </c>
      <c r="J51" s="424">
        <v>1152710335</v>
      </c>
      <c r="K51" s="137" t="s">
        <v>1191</v>
      </c>
      <c r="L51" s="179"/>
      <c r="M51" s="286"/>
      <c r="N51" s="137" t="s">
        <v>1588</v>
      </c>
      <c r="O51" s="424">
        <v>3122262689</v>
      </c>
      <c r="P51" s="423" t="s">
        <v>1091</v>
      </c>
      <c r="Q51" s="137"/>
      <c r="R51" s="425" t="s">
        <v>1585</v>
      </c>
      <c r="S51" s="425" t="s">
        <v>1585</v>
      </c>
      <c r="T51" s="423">
        <v>2024</v>
      </c>
      <c r="U51" s="137" t="s">
        <v>160</v>
      </c>
      <c r="V51" s="144" t="s">
        <v>210</v>
      </c>
    </row>
    <row r="52" spans="4:22">
      <c r="D52" s="137"/>
      <c r="E52" s="137">
        <v>15</v>
      </c>
      <c r="F52" s="137" t="s">
        <v>1057</v>
      </c>
      <c r="G52" s="137" t="s">
        <v>129</v>
      </c>
      <c r="H52" s="423" t="s">
        <v>1083</v>
      </c>
      <c r="I52" s="423" t="s">
        <v>1092</v>
      </c>
      <c r="J52" s="424">
        <v>1022002228</v>
      </c>
      <c r="K52" s="137" t="s">
        <v>1187</v>
      </c>
      <c r="L52" s="179"/>
      <c r="M52" s="286"/>
      <c r="N52" s="137" t="s">
        <v>1588</v>
      </c>
      <c r="O52" s="424">
        <v>3148496357</v>
      </c>
      <c r="P52" s="424" t="s">
        <v>1093</v>
      </c>
      <c r="Q52" s="137"/>
      <c r="R52" s="425" t="s">
        <v>1585</v>
      </c>
      <c r="S52" s="425" t="s">
        <v>1585</v>
      </c>
      <c r="T52" s="423">
        <v>2024</v>
      </c>
      <c r="U52" s="137" t="s">
        <v>160</v>
      </c>
      <c r="V52" s="144" t="s">
        <v>210</v>
      </c>
    </row>
    <row r="53" spans="4:22">
      <c r="D53" s="137"/>
      <c r="E53" s="137">
        <v>15</v>
      </c>
      <c r="F53" s="137" t="s">
        <v>1057</v>
      </c>
      <c r="G53" s="137" t="s">
        <v>129</v>
      </c>
      <c r="H53" s="423" t="s">
        <v>1083</v>
      </c>
      <c r="I53" s="423" t="s">
        <v>1094</v>
      </c>
      <c r="J53" s="424">
        <v>1027804435</v>
      </c>
      <c r="K53" s="137" t="s">
        <v>1191</v>
      </c>
      <c r="L53" s="179"/>
      <c r="M53" s="286"/>
      <c r="N53" s="137" t="s">
        <v>1588</v>
      </c>
      <c r="O53" s="424">
        <v>3185371174</v>
      </c>
      <c r="P53" s="423" t="s">
        <v>1095</v>
      </c>
      <c r="Q53" s="137"/>
      <c r="R53" s="425" t="s">
        <v>1585</v>
      </c>
      <c r="S53" s="425" t="s">
        <v>1585</v>
      </c>
      <c r="T53" s="423">
        <v>2024</v>
      </c>
      <c r="U53" s="137" t="s">
        <v>160</v>
      </c>
      <c r="V53" s="144" t="s">
        <v>210</v>
      </c>
    </row>
    <row r="54" spans="4:22">
      <c r="D54" s="755" t="s">
        <v>2289</v>
      </c>
      <c r="E54" s="755">
        <v>15</v>
      </c>
      <c r="F54" s="755" t="s">
        <v>1057</v>
      </c>
      <c r="G54" s="755" t="s">
        <v>129</v>
      </c>
      <c r="H54" s="894" t="s">
        <v>1096</v>
      </c>
      <c r="I54" s="894" t="s">
        <v>1097</v>
      </c>
      <c r="J54" s="895">
        <v>1020394071</v>
      </c>
      <c r="K54" s="755" t="s">
        <v>1187</v>
      </c>
      <c r="L54" s="765"/>
      <c r="M54" s="757"/>
      <c r="N54" s="755" t="s">
        <v>1588</v>
      </c>
      <c r="O54" s="895">
        <v>3146465408</v>
      </c>
      <c r="P54" s="895" t="s">
        <v>1098</v>
      </c>
      <c r="Q54" s="755" t="s">
        <v>1096</v>
      </c>
      <c r="R54" s="897" t="s">
        <v>1585</v>
      </c>
      <c r="S54" s="897" t="s">
        <v>1585</v>
      </c>
      <c r="T54" s="894">
        <v>2024</v>
      </c>
      <c r="U54" s="755" t="s">
        <v>166</v>
      </c>
      <c r="V54" s="761" t="s">
        <v>210</v>
      </c>
    </row>
    <row r="55" spans="4:22">
      <c r="D55" s="200"/>
      <c r="E55" s="200">
        <v>15</v>
      </c>
      <c r="F55" s="200" t="s">
        <v>1057</v>
      </c>
      <c r="G55" s="200" t="s">
        <v>129</v>
      </c>
      <c r="H55" s="408" t="s">
        <v>1096</v>
      </c>
      <c r="I55" s="408" t="s">
        <v>1099</v>
      </c>
      <c r="J55" s="409">
        <v>42774329</v>
      </c>
      <c r="K55" s="200" t="s">
        <v>1191</v>
      </c>
      <c r="L55" s="191"/>
      <c r="M55" s="238"/>
      <c r="N55" s="200" t="s">
        <v>1588</v>
      </c>
      <c r="O55" s="409">
        <v>3143499024</v>
      </c>
      <c r="P55" s="408" t="s">
        <v>1100</v>
      </c>
      <c r="Q55" s="200" t="s">
        <v>1096</v>
      </c>
      <c r="R55" s="410" t="s">
        <v>1585</v>
      </c>
      <c r="S55" s="410" t="s">
        <v>1585</v>
      </c>
      <c r="T55" s="408">
        <v>2024</v>
      </c>
      <c r="U55" s="200" t="s">
        <v>160</v>
      </c>
      <c r="V55" s="144" t="s">
        <v>210</v>
      </c>
    </row>
    <row r="56" spans="4:22">
      <c r="D56" s="200"/>
      <c r="E56" s="200">
        <v>15</v>
      </c>
      <c r="F56" s="200" t="s">
        <v>1057</v>
      </c>
      <c r="G56" s="200" t="s">
        <v>129</v>
      </c>
      <c r="H56" s="408" t="s">
        <v>1096</v>
      </c>
      <c r="I56" s="408" t="s">
        <v>1101</v>
      </c>
      <c r="J56" s="409">
        <v>32353908</v>
      </c>
      <c r="K56" s="200" t="s">
        <v>1191</v>
      </c>
      <c r="L56" s="191"/>
      <c r="M56" s="238"/>
      <c r="N56" s="200" t="s">
        <v>1588</v>
      </c>
      <c r="O56" s="409">
        <v>3014980468</v>
      </c>
      <c r="P56" s="428" t="s">
        <v>1102</v>
      </c>
      <c r="Q56" s="200" t="s">
        <v>1096</v>
      </c>
      <c r="R56" s="410" t="s">
        <v>1585</v>
      </c>
      <c r="S56" s="410" t="s">
        <v>1585</v>
      </c>
      <c r="T56" s="408">
        <v>2024</v>
      </c>
      <c r="U56" s="200" t="s">
        <v>160</v>
      </c>
      <c r="V56" s="144" t="s">
        <v>210</v>
      </c>
    </row>
    <row r="57" spans="4:22">
      <c r="D57" s="200"/>
      <c r="E57" s="200">
        <v>15</v>
      </c>
      <c r="F57" s="200" t="s">
        <v>1057</v>
      </c>
      <c r="G57" s="200" t="s">
        <v>129</v>
      </c>
      <c r="H57" s="408" t="s">
        <v>1096</v>
      </c>
      <c r="I57" s="408" t="s">
        <v>1103</v>
      </c>
      <c r="J57" s="409">
        <v>1083878745</v>
      </c>
      <c r="K57" s="200" t="s">
        <v>1191</v>
      </c>
      <c r="L57" s="191"/>
      <c r="M57" s="238"/>
      <c r="N57" s="200" t="s">
        <v>1588</v>
      </c>
      <c r="O57" s="409">
        <v>3003229162</v>
      </c>
      <c r="P57" s="408" t="s">
        <v>1104</v>
      </c>
      <c r="Q57" s="200" t="s">
        <v>1096</v>
      </c>
      <c r="R57" s="410" t="s">
        <v>1585</v>
      </c>
      <c r="S57" s="410" t="s">
        <v>1585</v>
      </c>
      <c r="T57" s="408">
        <v>2024</v>
      </c>
      <c r="U57" s="200" t="s">
        <v>160</v>
      </c>
      <c r="V57" s="144" t="s">
        <v>210</v>
      </c>
    </row>
    <row r="58" spans="4:22">
      <c r="D58" s="200"/>
      <c r="E58" s="200">
        <v>15</v>
      </c>
      <c r="F58" s="200" t="s">
        <v>1057</v>
      </c>
      <c r="G58" s="200" t="s">
        <v>129</v>
      </c>
      <c r="H58" s="408" t="s">
        <v>1096</v>
      </c>
      <c r="I58" s="408" t="s">
        <v>1105</v>
      </c>
      <c r="J58" s="409">
        <v>43572214</v>
      </c>
      <c r="K58" s="200" t="s">
        <v>1191</v>
      </c>
      <c r="L58" s="191"/>
      <c r="M58" s="238"/>
      <c r="N58" s="200" t="s">
        <v>1588</v>
      </c>
      <c r="O58" s="409">
        <v>3104581459</v>
      </c>
      <c r="P58" s="409" t="s">
        <v>1106</v>
      </c>
      <c r="Q58" s="200" t="s">
        <v>1096</v>
      </c>
      <c r="R58" s="410" t="s">
        <v>1585</v>
      </c>
      <c r="S58" s="410" t="s">
        <v>1585</v>
      </c>
      <c r="T58" s="408">
        <v>2024</v>
      </c>
      <c r="U58" s="200" t="s">
        <v>160</v>
      </c>
      <c r="V58" s="144" t="s">
        <v>210</v>
      </c>
    </row>
    <row r="59" spans="4:22">
      <c r="D59" s="200"/>
      <c r="E59" s="200">
        <v>15</v>
      </c>
      <c r="F59" s="200" t="s">
        <v>1057</v>
      </c>
      <c r="G59" s="200" t="s">
        <v>129</v>
      </c>
      <c r="H59" s="408" t="s">
        <v>1096</v>
      </c>
      <c r="I59" s="408" t="s">
        <v>1107</v>
      </c>
      <c r="J59" s="409">
        <v>1022003977</v>
      </c>
      <c r="K59" s="200" t="s">
        <v>1187</v>
      </c>
      <c r="L59" s="191"/>
      <c r="M59" s="238"/>
      <c r="N59" s="200" t="s">
        <v>1588</v>
      </c>
      <c r="O59" s="409">
        <v>3104581459</v>
      </c>
      <c r="P59" s="408" t="s">
        <v>1106</v>
      </c>
      <c r="Q59" s="200" t="s">
        <v>1096</v>
      </c>
      <c r="R59" s="410" t="s">
        <v>1585</v>
      </c>
      <c r="S59" s="410" t="s">
        <v>1585</v>
      </c>
      <c r="T59" s="408">
        <v>2024</v>
      </c>
      <c r="U59" s="200" t="s">
        <v>160</v>
      </c>
      <c r="V59" s="144" t="s">
        <v>210</v>
      </c>
    </row>
    <row r="60" spans="4:22">
      <c r="D60" s="755" t="s">
        <v>2289</v>
      </c>
      <c r="E60" s="755">
        <v>15</v>
      </c>
      <c r="F60" s="755" t="s">
        <v>1057</v>
      </c>
      <c r="G60" s="755" t="s">
        <v>129</v>
      </c>
      <c r="H60" s="894" t="s">
        <v>1108</v>
      </c>
      <c r="I60" s="894" t="s">
        <v>1109</v>
      </c>
      <c r="J60" s="895">
        <v>43837849</v>
      </c>
      <c r="K60" s="755" t="s">
        <v>1191</v>
      </c>
      <c r="L60" s="765"/>
      <c r="M60" s="757"/>
      <c r="N60" s="755" t="s">
        <v>1588</v>
      </c>
      <c r="O60" s="895">
        <v>3116670745</v>
      </c>
      <c r="P60" s="895" t="s">
        <v>1110</v>
      </c>
      <c r="Q60" s="755"/>
      <c r="R60" s="897" t="s">
        <v>1585</v>
      </c>
      <c r="S60" s="897" t="s">
        <v>1585</v>
      </c>
      <c r="T60" s="894">
        <v>2024</v>
      </c>
      <c r="U60" s="755" t="s">
        <v>166</v>
      </c>
      <c r="V60" s="761" t="s">
        <v>210</v>
      </c>
    </row>
    <row r="61" spans="4:22">
      <c r="D61" s="195"/>
      <c r="E61" s="195">
        <v>15</v>
      </c>
      <c r="F61" s="195" t="s">
        <v>1057</v>
      </c>
      <c r="G61" s="195" t="s">
        <v>129</v>
      </c>
      <c r="H61" s="413" t="s">
        <v>1108</v>
      </c>
      <c r="I61" s="413" t="s">
        <v>1111</v>
      </c>
      <c r="J61" s="414">
        <v>43053899</v>
      </c>
      <c r="K61" s="195" t="s">
        <v>1191</v>
      </c>
      <c r="L61" s="177"/>
      <c r="M61" s="239"/>
      <c r="N61" s="195" t="s">
        <v>1588</v>
      </c>
      <c r="O61" s="414">
        <v>3192400861</v>
      </c>
      <c r="P61" s="413" t="s">
        <v>1112</v>
      </c>
      <c r="Q61" s="195"/>
      <c r="R61" s="415" t="s">
        <v>1585</v>
      </c>
      <c r="S61" s="415" t="s">
        <v>1585</v>
      </c>
      <c r="T61" s="413">
        <v>2024</v>
      </c>
      <c r="U61" s="195" t="s">
        <v>160</v>
      </c>
      <c r="V61" s="144" t="s">
        <v>210</v>
      </c>
    </row>
    <row r="62" spans="4:22">
      <c r="D62" s="195"/>
      <c r="E62" s="195">
        <v>15</v>
      </c>
      <c r="F62" s="195" t="s">
        <v>1057</v>
      </c>
      <c r="G62" s="195" t="s">
        <v>129</v>
      </c>
      <c r="H62" s="413" t="s">
        <v>1108</v>
      </c>
      <c r="I62" s="413" t="s">
        <v>1113</v>
      </c>
      <c r="J62" s="414">
        <v>70721473</v>
      </c>
      <c r="K62" s="195" t="s">
        <v>1187</v>
      </c>
      <c r="L62" s="177"/>
      <c r="M62" s="239"/>
      <c r="N62" s="195" t="s">
        <v>1588</v>
      </c>
      <c r="O62" s="414">
        <v>3127244464</v>
      </c>
      <c r="P62" s="414" t="s">
        <v>1114</v>
      </c>
      <c r="Q62" s="195"/>
      <c r="R62" s="415" t="s">
        <v>1585</v>
      </c>
      <c r="S62" s="415" t="s">
        <v>1585</v>
      </c>
      <c r="T62" s="413">
        <v>2024</v>
      </c>
      <c r="U62" s="195" t="s">
        <v>160</v>
      </c>
      <c r="V62" s="144" t="s">
        <v>210</v>
      </c>
    </row>
    <row r="63" spans="4:22">
      <c r="D63" s="195"/>
      <c r="E63" s="195">
        <v>15</v>
      </c>
      <c r="F63" s="195" t="s">
        <v>1057</v>
      </c>
      <c r="G63" s="195" t="s">
        <v>129</v>
      </c>
      <c r="H63" s="413" t="s">
        <v>1108</v>
      </c>
      <c r="I63" s="413" t="s">
        <v>1115</v>
      </c>
      <c r="J63" s="414">
        <v>42771198</v>
      </c>
      <c r="K63" s="195" t="s">
        <v>1191</v>
      </c>
      <c r="L63" s="177"/>
      <c r="M63" s="239"/>
      <c r="N63" s="195" t="s">
        <v>1588</v>
      </c>
      <c r="O63" s="414">
        <v>3012297531</v>
      </c>
      <c r="P63" s="413" t="s">
        <v>1116</v>
      </c>
      <c r="Q63" s="195"/>
      <c r="R63" s="415" t="s">
        <v>1585</v>
      </c>
      <c r="S63" s="415" t="s">
        <v>1585</v>
      </c>
      <c r="T63" s="413">
        <v>2024</v>
      </c>
      <c r="U63" s="195" t="s">
        <v>160</v>
      </c>
      <c r="V63" s="144" t="s">
        <v>210</v>
      </c>
    </row>
    <row r="64" spans="4:22">
      <c r="D64" s="195"/>
      <c r="E64" s="195">
        <v>15</v>
      </c>
      <c r="F64" s="195" t="s">
        <v>1057</v>
      </c>
      <c r="G64" s="195" t="s">
        <v>129</v>
      </c>
      <c r="H64" s="413" t="s">
        <v>1108</v>
      </c>
      <c r="I64" s="413" t="s">
        <v>1117</v>
      </c>
      <c r="J64" s="414">
        <v>22104782</v>
      </c>
      <c r="K64" s="195" t="s">
        <v>1191</v>
      </c>
      <c r="L64" s="177"/>
      <c r="M64" s="239"/>
      <c r="N64" s="195" t="s">
        <v>1588</v>
      </c>
      <c r="O64" s="414">
        <v>3105293588</v>
      </c>
      <c r="P64" s="414" t="s">
        <v>1118</v>
      </c>
      <c r="Q64" s="195"/>
      <c r="R64" s="415" t="s">
        <v>1585</v>
      </c>
      <c r="S64" s="415" t="s">
        <v>1585</v>
      </c>
      <c r="T64" s="413">
        <v>2024</v>
      </c>
      <c r="U64" s="195" t="s">
        <v>160</v>
      </c>
      <c r="V64" s="144" t="s">
        <v>210</v>
      </c>
    </row>
    <row r="65" spans="4:22">
      <c r="D65" s="195"/>
      <c r="E65" s="195">
        <v>15</v>
      </c>
      <c r="F65" s="195" t="s">
        <v>1057</v>
      </c>
      <c r="G65" s="195" t="s">
        <v>129</v>
      </c>
      <c r="H65" s="413" t="s">
        <v>1108</v>
      </c>
      <c r="I65" s="413" t="s">
        <v>1119</v>
      </c>
      <c r="J65" s="414">
        <v>43441197</v>
      </c>
      <c r="K65" s="195" t="s">
        <v>1191</v>
      </c>
      <c r="L65" s="177"/>
      <c r="M65" s="239"/>
      <c r="N65" s="195" t="s">
        <v>1588</v>
      </c>
      <c r="O65" s="414">
        <v>3117090182</v>
      </c>
      <c r="P65" s="413" t="s">
        <v>1120</v>
      </c>
      <c r="Q65" s="195"/>
      <c r="R65" s="415" t="s">
        <v>1585</v>
      </c>
      <c r="S65" s="415" t="s">
        <v>1585</v>
      </c>
      <c r="T65" s="413">
        <v>2024</v>
      </c>
      <c r="U65" s="195" t="s">
        <v>160</v>
      </c>
      <c r="V65" s="144" t="s">
        <v>210</v>
      </c>
    </row>
    <row r="66" spans="4:22">
      <c r="D66" s="755" t="s">
        <v>2289</v>
      </c>
      <c r="E66" s="755">
        <v>15</v>
      </c>
      <c r="F66" s="755" t="s">
        <v>1057</v>
      </c>
      <c r="G66" s="755" t="s">
        <v>129</v>
      </c>
      <c r="H66" s="894" t="s">
        <v>1121</v>
      </c>
      <c r="I66" s="894" t="s">
        <v>1122</v>
      </c>
      <c r="J66" s="895">
        <v>3391601</v>
      </c>
      <c r="K66" s="755" t="s">
        <v>1187</v>
      </c>
      <c r="L66" s="765"/>
      <c r="M66" s="757"/>
      <c r="N66" s="755" t="s">
        <v>1588</v>
      </c>
      <c r="O66" s="895">
        <v>3016192591</v>
      </c>
      <c r="P66" s="895" t="s">
        <v>1123</v>
      </c>
      <c r="Q66" s="755" t="s">
        <v>1796</v>
      </c>
      <c r="R66" s="897" t="s">
        <v>1585</v>
      </c>
      <c r="S66" s="897" t="s">
        <v>1585</v>
      </c>
      <c r="T66" s="894">
        <v>2024</v>
      </c>
      <c r="U66" s="755" t="s">
        <v>166</v>
      </c>
      <c r="V66" s="761" t="s">
        <v>210</v>
      </c>
    </row>
    <row r="67" spans="4:22">
      <c r="D67" s="196"/>
      <c r="E67" s="196">
        <v>15</v>
      </c>
      <c r="F67" s="196" t="s">
        <v>1057</v>
      </c>
      <c r="G67" s="196" t="s">
        <v>129</v>
      </c>
      <c r="H67" s="419" t="s">
        <v>1121</v>
      </c>
      <c r="I67" s="419" t="s">
        <v>1124</v>
      </c>
      <c r="J67" s="420">
        <v>1026135537</v>
      </c>
      <c r="K67" s="196" t="s">
        <v>1187</v>
      </c>
      <c r="L67" s="178"/>
      <c r="M67" s="283"/>
      <c r="N67" s="196" t="s">
        <v>1588</v>
      </c>
      <c r="O67" s="420">
        <v>3173518360</v>
      </c>
      <c r="P67" s="429" t="s">
        <v>1125</v>
      </c>
      <c r="Q67" s="196" t="s">
        <v>1796</v>
      </c>
      <c r="R67" s="421" t="s">
        <v>1585</v>
      </c>
      <c r="S67" s="421" t="s">
        <v>1585</v>
      </c>
      <c r="T67" s="419">
        <v>2024</v>
      </c>
      <c r="U67" s="196" t="s">
        <v>160</v>
      </c>
      <c r="V67" s="144" t="s">
        <v>210</v>
      </c>
    </row>
    <row r="68" spans="4:22">
      <c r="D68" s="196"/>
      <c r="E68" s="196">
        <v>15</v>
      </c>
      <c r="F68" s="196" t="s">
        <v>1057</v>
      </c>
      <c r="G68" s="196" t="s">
        <v>129</v>
      </c>
      <c r="H68" s="419" t="s">
        <v>1121</v>
      </c>
      <c r="I68" s="419" t="s">
        <v>1126</v>
      </c>
      <c r="J68" s="420">
        <v>71638255</v>
      </c>
      <c r="K68" s="196" t="s">
        <v>1187</v>
      </c>
      <c r="L68" s="178"/>
      <c r="M68" s="283"/>
      <c r="N68" s="196" t="s">
        <v>1588</v>
      </c>
      <c r="O68" s="420">
        <v>3167627195</v>
      </c>
      <c r="P68" s="430" t="s">
        <v>1127</v>
      </c>
      <c r="Q68" s="196" t="s">
        <v>1796</v>
      </c>
      <c r="R68" s="421" t="s">
        <v>1585</v>
      </c>
      <c r="S68" s="421" t="s">
        <v>1585</v>
      </c>
      <c r="T68" s="419">
        <v>2024</v>
      </c>
      <c r="U68" s="196" t="s">
        <v>160</v>
      </c>
      <c r="V68" s="144" t="s">
        <v>210</v>
      </c>
    </row>
    <row r="69" spans="4:22">
      <c r="D69" s="196"/>
      <c r="E69" s="196">
        <v>15</v>
      </c>
      <c r="F69" s="196" t="s">
        <v>1057</v>
      </c>
      <c r="G69" s="196" t="s">
        <v>129</v>
      </c>
      <c r="H69" s="419" t="s">
        <v>1121</v>
      </c>
      <c r="I69" s="419" t="s">
        <v>1128</v>
      </c>
      <c r="J69" s="420">
        <v>1036629813</v>
      </c>
      <c r="K69" s="196" t="s">
        <v>1187</v>
      </c>
      <c r="L69" s="178"/>
      <c r="M69" s="283"/>
      <c r="N69" s="196" t="s">
        <v>1588</v>
      </c>
      <c r="O69" s="420">
        <v>3054408268</v>
      </c>
      <c r="P69" s="419" t="s">
        <v>1129</v>
      </c>
      <c r="Q69" s="196" t="s">
        <v>1796</v>
      </c>
      <c r="R69" s="421" t="s">
        <v>1585</v>
      </c>
      <c r="S69" s="421" t="s">
        <v>1585</v>
      </c>
      <c r="T69" s="419">
        <v>2024</v>
      </c>
      <c r="U69" s="196" t="s">
        <v>160</v>
      </c>
      <c r="V69" s="144" t="s">
        <v>210</v>
      </c>
    </row>
    <row r="70" spans="4:22">
      <c r="D70" s="196"/>
      <c r="E70" s="196">
        <v>15</v>
      </c>
      <c r="F70" s="196" t="s">
        <v>1057</v>
      </c>
      <c r="G70" s="196" t="s">
        <v>129</v>
      </c>
      <c r="H70" s="419" t="s">
        <v>1121</v>
      </c>
      <c r="I70" s="419" t="s">
        <v>1130</v>
      </c>
      <c r="J70" s="420">
        <v>42761053</v>
      </c>
      <c r="K70" s="196" t="s">
        <v>1191</v>
      </c>
      <c r="L70" s="178"/>
      <c r="M70" s="283"/>
      <c r="N70" s="196" t="s">
        <v>1588</v>
      </c>
      <c r="O70" s="420">
        <v>3012173815</v>
      </c>
      <c r="P70" s="420" t="s">
        <v>1131</v>
      </c>
      <c r="Q70" s="196" t="s">
        <v>1796</v>
      </c>
      <c r="R70" s="421" t="s">
        <v>1585</v>
      </c>
      <c r="S70" s="421" t="s">
        <v>1585</v>
      </c>
      <c r="T70" s="419">
        <v>2024</v>
      </c>
      <c r="U70" s="196" t="s">
        <v>160</v>
      </c>
      <c r="V70" s="144" t="s">
        <v>210</v>
      </c>
    </row>
    <row r="71" spans="4:22">
      <c r="D71" s="196"/>
      <c r="E71" s="196">
        <v>15</v>
      </c>
      <c r="F71" s="196" t="s">
        <v>1057</v>
      </c>
      <c r="G71" s="196" t="s">
        <v>129</v>
      </c>
      <c r="H71" s="419" t="s">
        <v>1121</v>
      </c>
      <c r="I71" s="419" t="s">
        <v>1132</v>
      </c>
      <c r="J71" s="420">
        <v>43627368</v>
      </c>
      <c r="K71" s="196" t="s">
        <v>1191</v>
      </c>
      <c r="L71" s="178"/>
      <c r="M71" s="283"/>
      <c r="N71" s="196" t="s">
        <v>1588</v>
      </c>
      <c r="O71" s="420">
        <v>3006148990</v>
      </c>
      <c r="P71" s="429" t="s">
        <v>1133</v>
      </c>
      <c r="Q71" s="196" t="s">
        <v>1796</v>
      </c>
      <c r="R71" s="421" t="s">
        <v>1585</v>
      </c>
      <c r="S71" s="421" t="s">
        <v>1585</v>
      </c>
      <c r="T71" s="419">
        <v>2024</v>
      </c>
      <c r="U71" s="196" t="s">
        <v>160</v>
      </c>
      <c r="V71" s="144" t="s">
        <v>210</v>
      </c>
    </row>
    <row r="72" spans="4:22">
      <c r="D72" s="755" t="s">
        <v>2289</v>
      </c>
      <c r="E72" s="755">
        <v>15</v>
      </c>
      <c r="F72" s="755" t="s">
        <v>1057</v>
      </c>
      <c r="G72" s="755" t="s">
        <v>129</v>
      </c>
      <c r="H72" s="894" t="s">
        <v>1134</v>
      </c>
      <c r="I72" s="894" t="s">
        <v>1135</v>
      </c>
      <c r="J72" s="895">
        <v>15455962</v>
      </c>
      <c r="K72" s="755" t="s">
        <v>1187</v>
      </c>
      <c r="L72" s="765"/>
      <c r="M72" s="757"/>
      <c r="N72" s="755" t="s">
        <v>1588</v>
      </c>
      <c r="O72" s="895">
        <v>3147929354</v>
      </c>
      <c r="P72" s="895" t="s">
        <v>1136</v>
      </c>
      <c r="Q72" s="755" t="s">
        <v>1794</v>
      </c>
      <c r="R72" s="897" t="s">
        <v>1585</v>
      </c>
      <c r="S72" s="897" t="s">
        <v>1585</v>
      </c>
      <c r="T72" s="894">
        <v>2024</v>
      </c>
      <c r="U72" s="755" t="s">
        <v>166</v>
      </c>
      <c r="V72" s="761" t="s">
        <v>210</v>
      </c>
    </row>
    <row r="73" spans="4:22">
      <c r="D73" s="137"/>
      <c r="E73" s="137">
        <v>15</v>
      </c>
      <c r="F73" s="137" t="s">
        <v>1057</v>
      </c>
      <c r="G73" s="137" t="s">
        <v>129</v>
      </c>
      <c r="H73" s="423" t="s">
        <v>1134</v>
      </c>
      <c r="I73" s="423" t="s">
        <v>1137</v>
      </c>
      <c r="J73" s="424">
        <v>1001545501</v>
      </c>
      <c r="K73" s="137" t="s">
        <v>1191</v>
      </c>
      <c r="L73" s="179"/>
      <c r="M73" s="286"/>
      <c r="N73" s="137" t="s">
        <v>1588</v>
      </c>
      <c r="O73" s="424">
        <v>3022463727</v>
      </c>
      <c r="P73" s="423" t="s">
        <v>1138</v>
      </c>
      <c r="Q73" s="137" t="s">
        <v>1794</v>
      </c>
      <c r="R73" s="425" t="s">
        <v>1585</v>
      </c>
      <c r="S73" s="425" t="s">
        <v>1585</v>
      </c>
      <c r="T73" s="423">
        <v>2024</v>
      </c>
      <c r="U73" s="137" t="s">
        <v>160</v>
      </c>
      <c r="V73" s="144" t="s">
        <v>210</v>
      </c>
    </row>
    <row r="74" spans="4:22">
      <c r="D74" s="137"/>
      <c r="E74" s="137">
        <v>15</v>
      </c>
      <c r="F74" s="137" t="s">
        <v>1057</v>
      </c>
      <c r="G74" s="137" t="s">
        <v>129</v>
      </c>
      <c r="H74" s="423" t="s">
        <v>1134</v>
      </c>
      <c r="I74" s="423" t="s">
        <v>1139</v>
      </c>
      <c r="J74" s="424">
        <v>1020460286</v>
      </c>
      <c r="K74" s="137" t="s">
        <v>1187</v>
      </c>
      <c r="L74" s="179"/>
      <c r="M74" s="286"/>
      <c r="N74" s="137" t="s">
        <v>1588</v>
      </c>
      <c r="O74" s="424">
        <v>3105512751</v>
      </c>
      <c r="P74" s="424" t="s">
        <v>1140</v>
      </c>
      <c r="Q74" s="137" t="s">
        <v>1794</v>
      </c>
      <c r="R74" s="425" t="s">
        <v>1585</v>
      </c>
      <c r="S74" s="425" t="s">
        <v>1585</v>
      </c>
      <c r="T74" s="423">
        <v>2024</v>
      </c>
      <c r="U74" s="137" t="s">
        <v>160</v>
      </c>
      <c r="V74" s="144" t="s">
        <v>210</v>
      </c>
    </row>
    <row r="75" spans="4:22">
      <c r="D75" s="137"/>
      <c r="E75" s="137">
        <v>15</v>
      </c>
      <c r="F75" s="137" t="s">
        <v>1057</v>
      </c>
      <c r="G75" s="137" t="s">
        <v>129</v>
      </c>
      <c r="H75" s="423" t="s">
        <v>1134</v>
      </c>
      <c r="I75" s="423" t="s">
        <v>1141</v>
      </c>
      <c r="J75" s="424">
        <v>43320203</v>
      </c>
      <c r="K75" s="137" t="s">
        <v>1191</v>
      </c>
      <c r="L75" s="179"/>
      <c r="M75" s="286"/>
      <c r="N75" s="137" t="s">
        <v>1588</v>
      </c>
      <c r="O75" s="424">
        <v>3146104935</v>
      </c>
      <c r="P75" s="423" t="s">
        <v>1142</v>
      </c>
      <c r="Q75" s="137" t="s">
        <v>1794</v>
      </c>
      <c r="R75" s="425" t="s">
        <v>1585</v>
      </c>
      <c r="S75" s="425" t="s">
        <v>1585</v>
      </c>
      <c r="T75" s="423">
        <v>2024</v>
      </c>
      <c r="U75" s="137" t="s">
        <v>160</v>
      </c>
      <c r="V75" s="144" t="s">
        <v>210</v>
      </c>
    </row>
    <row r="76" spans="4:22">
      <c r="D76" s="137"/>
      <c r="E76" s="137">
        <v>15</v>
      </c>
      <c r="F76" s="137" t="s">
        <v>1057</v>
      </c>
      <c r="G76" s="137" t="s">
        <v>129</v>
      </c>
      <c r="H76" s="423" t="s">
        <v>1134</v>
      </c>
      <c r="I76" s="423" t="s">
        <v>1143</v>
      </c>
      <c r="J76" s="424">
        <v>83086801</v>
      </c>
      <c r="K76" s="137" t="s">
        <v>1187</v>
      </c>
      <c r="L76" s="179"/>
      <c r="M76" s="286"/>
      <c r="N76" s="137" t="s">
        <v>1588</v>
      </c>
      <c r="O76" s="424">
        <v>3214537000</v>
      </c>
      <c r="P76" s="424" t="s">
        <v>1144</v>
      </c>
      <c r="Q76" s="137" t="s">
        <v>1794</v>
      </c>
      <c r="R76" s="425" t="s">
        <v>1585</v>
      </c>
      <c r="S76" s="425" t="s">
        <v>1585</v>
      </c>
      <c r="T76" s="423">
        <v>2024</v>
      </c>
      <c r="U76" s="137" t="s">
        <v>160</v>
      </c>
      <c r="V76" s="144" t="s">
        <v>210</v>
      </c>
    </row>
    <row r="77" spans="4:22">
      <c r="D77" s="137"/>
      <c r="E77" s="137">
        <v>15</v>
      </c>
      <c r="F77" s="137" t="s">
        <v>1057</v>
      </c>
      <c r="G77" s="137" t="s">
        <v>129</v>
      </c>
      <c r="H77" s="423" t="s">
        <v>1134</v>
      </c>
      <c r="I77" s="423" t="s">
        <v>1145</v>
      </c>
      <c r="J77" s="424">
        <v>5589065</v>
      </c>
      <c r="K77" s="137" t="s">
        <v>1187</v>
      </c>
      <c r="L77" s="179"/>
      <c r="M77" s="286"/>
      <c r="N77" s="137" t="s">
        <v>1588</v>
      </c>
      <c r="O77" s="424">
        <v>3128633421</v>
      </c>
      <c r="P77" s="423" t="s">
        <v>1146</v>
      </c>
      <c r="Q77" s="137" t="s">
        <v>1794</v>
      </c>
      <c r="R77" s="425" t="s">
        <v>1585</v>
      </c>
      <c r="S77" s="425" t="s">
        <v>1585</v>
      </c>
      <c r="T77" s="423">
        <v>2024</v>
      </c>
      <c r="U77" s="137" t="s">
        <v>160</v>
      </c>
      <c r="V77" s="144" t="s">
        <v>210</v>
      </c>
    </row>
    <row r="78" spans="4:22">
      <c r="D78" s="137"/>
      <c r="E78" s="137">
        <v>15</v>
      </c>
      <c r="F78" s="137" t="s">
        <v>1057</v>
      </c>
      <c r="G78" s="137" t="s">
        <v>129</v>
      </c>
      <c r="H78" s="423" t="s">
        <v>1134</v>
      </c>
      <c r="I78" s="423" t="s">
        <v>1147</v>
      </c>
      <c r="J78" s="424">
        <v>70082245</v>
      </c>
      <c r="K78" s="137" t="s">
        <v>1187</v>
      </c>
      <c r="L78" s="179"/>
      <c r="M78" s="286"/>
      <c r="N78" s="137" t="s">
        <v>1588</v>
      </c>
      <c r="O78" s="424">
        <v>3152725071</v>
      </c>
      <c r="P78" s="424" t="s">
        <v>1148</v>
      </c>
      <c r="Q78" s="137" t="s">
        <v>1794</v>
      </c>
      <c r="R78" s="425" t="s">
        <v>1585</v>
      </c>
      <c r="S78" s="425" t="s">
        <v>1585</v>
      </c>
      <c r="T78" s="423">
        <v>2024</v>
      </c>
      <c r="U78" s="137" t="s">
        <v>160</v>
      </c>
      <c r="V78" s="144" t="s">
        <v>210</v>
      </c>
    </row>
    <row r="79" spans="4:22">
      <c r="D79" s="755" t="s">
        <v>2289</v>
      </c>
      <c r="E79" s="755">
        <v>15</v>
      </c>
      <c r="F79" s="755" t="s">
        <v>1057</v>
      </c>
      <c r="G79" s="755" t="s">
        <v>129</v>
      </c>
      <c r="H79" s="894" t="s">
        <v>1149</v>
      </c>
      <c r="I79" s="894" t="s">
        <v>1547</v>
      </c>
      <c r="J79" s="895">
        <v>1027660423</v>
      </c>
      <c r="K79" s="755" t="s">
        <v>1187</v>
      </c>
      <c r="L79" s="765"/>
      <c r="M79" s="757"/>
      <c r="N79" s="755" t="s">
        <v>1588</v>
      </c>
      <c r="O79" s="895">
        <v>3052770345</v>
      </c>
      <c r="P79" s="894" t="s">
        <v>1150</v>
      </c>
      <c r="Q79" s="755" t="s">
        <v>1794</v>
      </c>
      <c r="R79" s="897" t="s">
        <v>1585</v>
      </c>
      <c r="S79" s="897" t="s">
        <v>1585</v>
      </c>
      <c r="T79" s="894">
        <v>2024</v>
      </c>
      <c r="U79" s="755" t="s">
        <v>166</v>
      </c>
      <c r="V79" s="761" t="s">
        <v>210</v>
      </c>
    </row>
    <row r="80" spans="4:22">
      <c r="D80" s="200"/>
      <c r="E80" s="200">
        <v>15</v>
      </c>
      <c r="F80" s="200" t="s">
        <v>1057</v>
      </c>
      <c r="G80" s="200" t="s">
        <v>129</v>
      </c>
      <c r="H80" s="408" t="s">
        <v>1149</v>
      </c>
      <c r="I80" s="408" t="s">
        <v>1151</v>
      </c>
      <c r="J80" s="409">
        <v>70115424</v>
      </c>
      <c r="K80" s="200" t="s">
        <v>1187</v>
      </c>
      <c r="L80" s="191"/>
      <c r="M80" s="238"/>
      <c r="N80" s="200" t="s">
        <v>1588</v>
      </c>
      <c r="O80" s="409">
        <v>3165213497</v>
      </c>
      <c r="P80" s="409" t="s">
        <v>1152</v>
      </c>
      <c r="Q80" s="200" t="s">
        <v>1794</v>
      </c>
      <c r="R80" s="410" t="s">
        <v>1585</v>
      </c>
      <c r="S80" s="410" t="s">
        <v>1585</v>
      </c>
      <c r="T80" s="408">
        <v>2024</v>
      </c>
      <c r="U80" s="200" t="s">
        <v>160</v>
      </c>
      <c r="V80" s="144" t="s">
        <v>210</v>
      </c>
    </row>
    <row r="81" spans="4:22">
      <c r="D81" s="200"/>
      <c r="E81" s="200">
        <v>15</v>
      </c>
      <c r="F81" s="200" t="s">
        <v>1057</v>
      </c>
      <c r="G81" s="200" t="s">
        <v>129</v>
      </c>
      <c r="H81" s="408" t="s">
        <v>1149</v>
      </c>
      <c r="I81" s="408" t="s">
        <v>1153</v>
      </c>
      <c r="J81" s="409">
        <v>35602211</v>
      </c>
      <c r="K81" s="200" t="s">
        <v>1191</v>
      </c>
      <c r="L81" s="191"/>
      <c r="M81" s="238"/>
      <c r="N81" s="200" t="s">
        <v>1588</v>
      </c>
      <c r="O81" s="409">
        <v>3104296595</v>
      </c>
      <c r="P81" s="408" t="s">
        <v>1154</v>
      </c>
      <c r="Q81" s="200" t="s">
        <v>1794</v>
      </c>
      <c r="R81" s="410" t="s">
        <v>1585</v>
      </c>
      <c r="S81" s="410" t="s">
        <v>1585</v>
      </c>
      <c r="T81" s="408">
        <v>2024</v>
      </c>
      <c r="U81" s="200" t="s">
        <v>160</v>
      </c>
      <c r="V81" s="144" t="s">
        <v>210</v>
      </c>
    </row>
    <row r="82" spans="4:22">
      <c r="D82" s="200"/>
      <c r="E82" s="200">
        <v>15</v>
      </c>
      <c r="F82" s="200" t="s">
        <v>1057</v>
      </c>
      <c r="G82" s="200" t="s">
        <v>129</v>
      </c>
      <c r="H82" s="408" t="s">
        <v>1149</v>
      </c>
      <c r="I82" s="408" t="s">
        <v>1155</v>
      </c>
      <c r="J82" s="409">
        <v>43027674</v>
      </c>
      <c r="K82" s="200" t="s">
        <v>1191</v>
      </c>
      <c r="L82" s="191"/>
      <c r="M82" s="238"/>
      <c r="N82" s="200" t="s">
        <v>1588</v>
      </c>
      <c r="O82" s="409">
        <v>3105009037</v>
      </c>
      <c r="P82" s="409" t="s">
        <v>1156</v>
      </c>
      <c r="Q82" s="200" t="s">
        <v>1794</v>
      </c>
      <c r="R82" s="410" t="s">
        <v>1585</v>
      </c>
      <c r="S82" s="410" t="s">
        <v>1585</v>
      </c>
      <c r="T82" s="408">
        <v>2024</v>
      </c>
      <c r="U82" s="200" t="s">
        <v>160</v>
      </c>
      <c r="V82" s="144" t="s">
        <v>210</v>
      </c>
    </row>
    <row r="83" spans="4:22">
      <c r="D83" s="200"/>
      <c r="E83" s="200">
        <v>15</v>
      </c>
      <c r="F83" s="200" t="s">
        <v>1057</v>
      </c>
      <c r="G83" s="200" t="s">
        <v>129</v>
      </c>
      <c r="H83" s="408" t="s">
        <v>1149</v>
      </c>
      <c r="I83" s="408" t="s">
        <v>1157</v>
      </c>
      <c r="J83" s="409">
        <v>43500847</v>
      </c>
      <c r="K83" s="200" t="s">
        <v>1191</v>
      </c>
      <c r="L83" s="191"/>
      <c r="M83" s="238"/>
      <c r="N83" s="200" t="s">
        <v>1588</v>
      </c>
      <c r="O83" s="409">
        <v>3113128996</v>
      </c>
      <c r="P83" s="408" t="s">
        <v>1158</v>
      </c>
      <c r="Q83" s="200" t="s">
        <v>1794</v>
      </c>
      <c r="R83" s="410" t="s">
        <v>1585</v>
      </c>
      <c r="S83" s="410" t="s">
        <v>1585</v>
      </c>
      <c r="T83" s="408">
        <v>2024</v>
      </c>
      <c r="U83" s="200" t="s">
        <v>160</v>
      </c>
      <c r="V83" s="144" t="s">
        <v>210</v>
      </c>
    </row>
    <row r="84" spans="4:22">
      <c r="D84" s="200"/>
      <c r="E84" s="200">
        <v>15</v>
      </c>
      <c r="F84" s="200" t="s">
        <v>1057</v>
      </c>
      <c r="G84" s="200" t="s">
        <v>129</v>
      </c>
      <c r="H84" s="408" t="s">
        <v>1149</v>
      </c>
      <c r="I84" s="408" t="s">
        <v>1159</v>
      </c>
      <c r="J84" s="409">
        <v>1047504175</v>
      </c>
      <c r="K84" s="200" t="s">
        <v>1191</v>
      </c>
      <c r="L84" s="191"/>
      <c r="M84" s="238"/>
      <c r="N84" s="200" t="s">
        <v>1588</v>
      </c>
      <c r="O84" s="409">
        <v>3116550994</v>
      </c>
      <c r="P84" s="409" t="s">
        <v>1160</v>
      </c>
      <c r="Q84" s="200" t="s">
        <v>1794</v>
      </c>
      <c r="R84" s="410" t="s">
        <v>1585</v>
      </c>
      <c r="S84" s="410" t="s">
        <v>1585</v>
      </c>
      <c r="T84" s="408">
        <v>2024</v>
      </c>
      <c r="U84" s="200" t="s">
        <v>160</v>
      </c>
      <c r="V84" s="144" t="s">
        <v>210</v>
      </c>
    </row>
    <row r="85" spans="4:22">
      <c r="D85" s="755" t="s">
        <v>2289</v>
      </c>
      <c r="E85" s="755">
        <v>15</v>
      </c>
      <c r="F85" s="755" t="s">
        <v>1057</v>
      </c>
      <c r="G85" s="755" t="s">
        <v>129</v>
      </c>
      <c r="H85" s="894" t="s">
        <v>1161</v>
      </c>
      <c r="I85" s="894" t="s">
        <v>1162</v>
      </c>
      <c r="J85" s="895">
        <v>43826193</v>
      </c>
      <c r="K85" s="755" t="s">
        <v>1191</v>
      </c>
      <c r="L85" s="765"/>
      <c r="M85" s="757"/>
      <c r="N85" s="755" t="s">
        <v>1588</v>
      </c>
      <c r="O85" s="895">
        <v>3004418251</v>
      </c>
      <c r="P85" s="894" t="s">
        <v>1163</v>
      </c>
      <c r="Q85" s="755" t="s">
        <v>1161</v>
      </c>
      <c r="R85" s="897" t="s">
        <v>1585</v>
      </c>
      <c r="S85" s="897" t="s">
        <v>1585</v>
      </c>
      <c r="T85" s="894">
        <v>2024</v>
      </c>
      <c r="U85" s="755" t="s">
        <v>166</v>
      </c>
      <c r="V85" s="761" t="s">
        <v>210</v>
      </c>
    </row>
    <row r="86" spans="4:22">
      <c r="D86" s="195"/>
      <c r="E86" s="195">
        <v>15</v>
      </c>
      <c r="F86" s="195" t="s">
        <v>1057</v>
      </c>
      <c r="G86" s="195" t="s">
        <v>129</v>
      </c>
      <c r="H86" s="413" t="s">
        <v>1161</v>
      </c>
      <c r="I86" s="413" t="s">
        <v>1164</v>
      </c>
      <c r="J86" s="414">
        <v>1033260100</v>
      </c>
      <c r="K86" s="195" t="s">
        <v>1187</v>
      </c>
      <c r="L86" s="177"/>
      <c r="M86" s="239"/>
      <c r="N86" s="195" t="s">
        <v>1588</v>
      </c>
      <c r="O86" s="414">
        <v>3128360483</v>
      </c>
      <c r="P86" s="414" t="s">
        <v>1165</v>
      </c>
      <c r="Q86" s="195" t="s">
        <v>1161</v>
      </c>
      <c r="R86" s="415" t="s">
        <v>1585</v>
      </c>
      <c r="S86" s="415" t="s">
        <v>1585</v>
      </c>
      <c r="T86" s="413">
        <v>2024</v>
      </c>
      <c r="U86" s="195" t="s">
        <v>160</v>
      </c>
      <c r="V86" s="144" t="s">
        <v>210</v>
      </c>
    </row>
    <row r="87" spans="4:22">
      <c r="D87" s="195"/>
      <c r="E87" s="195">
        <v>15</v>
      </c>
      <c r="F87" s="195" t="s">
        <v>1057</v>
      </c>
      <c r="G87" s="195" t="s">
        <v>129</v>
      </c>
      <c r="H87" s="413" t="s">
        <v>1161</v>
      </c>
      <c r="I87" s="413" t="s">
        <v>1166</v>
      </c>
      <c r="J87" s="414">
        <v>98519929</v>
      </c>
      <c r="K87" s="195" t="s">
        <v>1187</v>
      </c>
      <c r="L87" s="177"/>
      <c r="M87" s="239"/>
      <c r="N87" s="195" t="s">
        <v>1588</v>
      </c>
      <c r="O87" s="414">
        <v>3016337120</v>
      </c>
      <c r="P87" s="413" t="s">
        <v>1167</v>
      </c>
      <c r="Q87" s="195" t="s">
        <v>1161</v>
      </c>
      <c r="R87" s="415" t="s">
        <v>1585</v>
      </c>
      <c r="S87" s="415" t="s">
        <v>1585</v>
      </c>
      <c r="T87" s="413">
        <v>2024</v>
      </c>
      <c r="U87" s="195" t="s">
        <v>160</v>
      </c>
      <c r="V87" s="144" t="s">
        <v>210</v>
      </c>
    </row>
    <row r="88" spans="4:22">
      <c r="D88" s="195"/>
      <c r="E88" s="195">
        <v>15</v>
      </c>
      <c r="F88" s="195" t="s">
        <v>1057</v>
      </c>
      <c r="G88" s="195" t="s">
        <v>129</v>
      </c>
      <c r="H88" s="413" t="s">
        <v>1161</v>
      </c>
      <c r="I88" s="413" t="s">
        <v>1168</v>
      </c>
      <c r="J88" s="414">
        <v>1027801286</v>
      </c>
      <c r="K88" s="195" t="s">
        <v>1191</v>
      </c>
      <c r="L88" s="177"/>
      <c r="M88" s="239"/>
      <c r="N88" s="195" t="s">
        <v>1588</v>
      </c>
      <c r="O88" s="414">
        <v>3137921961</v>
      </c>
      <c r="P88" s="414" t="s">
        <v>1169</v>
      </c>
      <c r="Q88" s="195" t="s">
        <v>1161</v>
      </c>
      <c r="R88" s="415" t="s">
        <v>1585</v>
      </c>
      <c r="S88" s="415" t="s">
        <v>1585</v>
      </c>
      <c r="T88" s="413">
        <v>2024</v>
      </c>
      <c r="U88" s="195" t="s">
        <v>160</v>
      </c>
      <c r="V88" s="144" t="s">
        <v>210</v>
      </c>
    </row>
    <row r="89" spans="4:22">
      <c r="D89" s="195"/>
      <c r="E89" s="195">
        <v>15</v>
      </c>
      <c r="F89" s="195" t="s">
        <v>1057</v>
      </c>
      <c r="G89" s="195" t="s">
        <v>129</v>
      </c>
      <c r="H89" s="413" t="s">
        <v>1161</v>
      </c>
      <c r="I89" s="413" t="s">
        <v>1170</v>
      </c>
      <c r="J89" s="414">
        <v>1152464044</v>
      </c>
      <c r="K89" s="195" t="s">
        <v>1187</v>
      </c>
      <c r="L89" s="177"/>
      <c r="M89" s="239"/>
      <c r="N89" s="195" t="s">
        <v>1588</v>
      </c>
      <c r="O89" s="414">
        <v>3104682576</v>
      </c>
      <c r="P89" s="413" t="s">
        <v>1171</v>
      </c>
      <c r="Q89" s="195" t="s">
        <v>1161</v>
      </c>
      <c r="R89" s="415" t="s">
        <v>1585</v>
      </c>
      <c r="S89" s="415" t="s">
        <v>1585</v>
      </c>
      <c r="T89" s="413">
        <v>2024</v>
      </c>
      <c r="U89" s="195" t="s">
        <v>160</v>
      </c>
      <c r="V89" s="144" t="s">
        <v>210</v>
      </c>
    </row>
    <row r="90" spans="4:22">
      <c r="D90" s="195"/>
      <c r="E90" s="195">
        <v>15</v>
      </c>
      <c r="F90" s="195" t="s">
        <v>1057</v>
      </c>
      <c r="G90" s="195" t="s">
        <v>129</v>
      </c>
      <c r="H90" s="413" t="s">
        <v>1161</v>
      </c>
      <c r="I90" s="413" t="s">
        <v>1172</v>
      </c>
      <c r="J90" s="414"/>
      <c r="K90" s="195" t="s">
        <v>1187</v>
      </c>
      <c r="L90" s="177"/>
      <c r="M90" s="239"/>
      <c r="N90" s="195" t="s">
        <v>1588</v>
      </c>
      <c r="O90" s="414">
        <v>3046153970</v>
      </c>
      <c r="P90" s="414" t="s">
        <v>1173</v>
      </c>
      <c r="Q90" s="195" t="s">
        <v>1161</v>
      </c>
      <c r="R90" s="415" t="s">
        <v>1585</v>
      </c>
      <c r="S90" s="415" t="s">
        <v>1585</v>
      </c>
      <c r="T90" s="413">
        <v>2024</v>
      </c>
      <c r="U90" s="195" t="s">
        <v>160</v>
      </c>
      <c r="V90" s="144" t="s">
        <v>210</v>
      </c>
    </row>
    <row r="91" spans="4:22">
      <c r="D91" s="755" t="s">
        <v>2289</v>
      </c>
      <c r="E91" s="755">
        <v>15</v>
      </c>
      <c r="F91" s="755" t="s">
        <v>1057</v>
      </c>
      <c r="G91" s="755" t="s">
        <v>129</v>
      </c>
      <c r="H91" s="894" t="s">
        <v>1174</v>
      </c>
      <c r="I91" s="894" t="s">
        <v>1179</v>
      </c>
      <c r="J91" s="895">
        <v>43451994</v>
      </c>
      <c r="K91" s="755" t="s">
        <v>1191</v>
      </c>
      <c r="L91" s="765"/>
      <c r="M91" s="757"/>
      <c r="N91" s="755" t="s">
        <v>1588</v>
      </c>
      <c r="O91" s="895">
        <v>3005731629</v>
      </c>
      <c r="P91" s="894" t="s">
        <v>1180</v>
      </c>
      <c r="Q91" s="755"/>
      <c r="R91" s="897" t="s">
        <v>1585</v>
      </c>
      <c r="S91" s="897" t="s">
        <v>1585</v>
      </c>
      <c r="T91" s="894">
        <v>2024</v>
      </c>
      <c r="U91" s="755" t="s">
        <v>166</v>
      </c>
      <c r="V91" s="761" t="s">
        <v>210</v>
      </c>
    </row>
    <row r="92" spans="4:22">
      <c r="D92" s="196"/>
      <c r="E92" s="196">
        <v>15</v>
      </c>
      <c r="F92" s="196" t="s">
        <v>1057</v>
      </c>
      <c r="G92" s="196" t="s">
        <v>129</v>
      </c>
      <c r="H92" s="419" t="s">
        <v>1174</v>
      </c>
      <c r="I92" s="419" t="s">
        <v>1175</v>
      </c>
      <c r="J92" s="420">
        <v>1034997108</v>
      </c>
      <c r="K92" s="196" t="s">
        <v>1191</v>
      </c>
      <c r="L92" s="178"/>
      <c r="M92" s="283"/>
      <c r="N92" s="196" t="s">
        <v>1588</v>
      </c>
      <c r="O92" s="420">
        <v>3225442736</v>
      </c>
      <c r="P92" s="419" t="s">
        <v>1176</v>
      </c>
      <c r="Q92" s="196"/>
      <c r="R92" s="421" t="s">
        <v>1585</v>
      </c>
      <c r="S92" s="421" t="s">
        <v>1585</v>
      </c>
      <c r="T92" s="419">
        <v>2024</v>
      </c>
      <c r="U92" s="196" t="s">
        <v>160</v>
      </c>
      <c r="V92" s="144" t="s">
        <v>210</v>
      </c>
    </row>
    <row r="93" spans="4:22">
      <c r="D93" s="196"/>
      <c r="E93" s="196">
        <v>15</v>
      </c>
      <c r="F93" s="196" t="s">
        <v>1057</v>
      </c>
      <c r="G93" s="196" t="s">
        <v>129</v>
      </c>
      <c r="H93" s="419" t="s">
        <v>1174</v>
      </c>
      <c r="I93" s="419" t="s">
        <v>1177</v>
      </c>
      <c r="J93" s="420">
        <v>1034991313</v>
      </c>
      <c r="K93" s="196" t="s">
        <v>1187</v>
      </c>
      <c r="L93" s="178"/>
      <c r="M93" s="283"/>
      <c r="N93" s="196" t="s">
        <v>1588</v>
      </c>
      <c r="O93" s="420">
        <v>3155129355</v>
      </c>
      <c r="P93" s="420" t="s">
        <v>1178</v>
      </c>
      <c r="Q93" s="196"/>
      <c r="R93" s="421" t="s">
        <v>1585</v>
      </c>
      <c r="S93" s="421" t="s">
        <v>1585</v>
      </c>
      <c r="T93" s="419">
        <v>2024</v>
      </c>
      <c r="U93" s="196" t="s">
        <v>160</v>
      </c>
      <c r="V93" s="144" t="s">
        <v>210</v>
      </c>
    </row>
    <row r="94" spans="4:22">
      <c r="D94" s="196"/>
      <c r="E94" s="196">
        <v>15</v>
      </c>
      <c r="F94" s="196" t="s">
        <v>1057</v>
      </c>
      <c r="G94" s="196" t="s">
        <v>129</v>
      </c>
      <c r="H94" s="419" t="s">
        <v>1174</v>
      </c>
      <c r="I94" s="419" t="s">
        <v>1181</v>
      </c>
      <c r="J94" s="420">
        <v>71318938</v>
      </c>
      <c r="K94" s="196" t="s">
        <v>1187</v>
      </c>
      <c r="L94" s="178"/>
      <c r="M94" s="283"/>
      <c r="N94" s="196" t="s">
        <v>1588</v>
      </c>
      <c r="O94" s="420">
        <v>3241517277</v>
      </c>
      <c r="P94" s="420" t="s">
        <v>1182</v>
      </c>
      <c r="Q94" s="196"/>
      <c r="R94" s="421" t="s">
        <v>1585</v>
      </c>
      <c r="S94" s="421" t="s">
        <v>1585</v>
      </c>
      <c r="T94" s="419">
        <v>2024</v>
      </c>
      <c r="U94" s="196" t="s">
        <v>160</v>
      </c>
      <c r="V94" s="144" t="s">
        <v>210</v>
      </c>
    </row>
    <row r="95" spans="4:22">
      <c r="D95" s="196"/>
      <c r="E95" s="196">
        <v>15</v>
      </c>
      <c r="F95" s="196" t="s">
        <v>1057</v>
      </c>
      <c r="G95" s="196" t="s">
        <v>129</v>
      </c>
      <c r="H95" s="419" t="s">
        <v>1174</v>
      </c>
      <c r="I95" s="419" t="s">
        <v>1183</v>
      </c>
      <c r="J95" s="420">
        <v>1036681484</v>
      </c>
      <c r="K95" s="196" t="s">
        <v>1191</v>
      </c>
      <c r="L95" s="178"/>
      <c r="M95" s="283"/>
      <c r="N95" s="196" t="s">
        <v>1588</v>
      </c>
      <c r="O95" s="420">
        <v>3236808180</v>
      </c>
      <c r="P95" s="419" t="s">
        <v>1184</v>
      </c>
      <c r="Q95" s="196"/>
      <c r="R95" s="421" t="s">
        <v>1585</v>
      </c>
      <c r="S95" s="421" t="s">
        <v>1585</v>
      </c>
      <c r="T95" s="419">
        <v>2024</v>
      </c>
      <c r="U95" s="196" t="s">
        <v>160</v>
      </c>
      <c r="V95" s="144" t="s">
        <v>210</v>
      </c>
    </row>
    <row r="96" spans="4:22">
      <c r="D96" s="196"/>
      <c r="E96" s="196">
        <v>15</v>
      </c>
      <c r="F96" s="196" t="s">
        <v>1057</v>
      </c>
      <c r="G96" s="196" t="s">
        <v>129</v>
      </c>
      <c r="H96" s="419" t="s">
        <v>1174</v>
      </c>
      <c r="I96" s="419" t="s">
        <v>1185</v>
      </c>
      <c r="J96" s="420">
        <v>1025762124</v>
      </c>
      <c r="K96" s="196" t="s">
        <v>1187</v>
      </c>
      <c r="L96" s="178"/>
      <c r="M96" s="283"/>
      <c r="N96" s="196" t="s">
        <v>1588</v>
      </c>
      <c r="O96" s="420">
        <v>3001192403</v>
      </c>
      <c r="P96" s="419" t="s">
        <v>1186</v>
      </c>
      <c r="Q96" s="196"/>
      <c r="R96" s="421" t="s">
        <v>1585</v>
      </c>
      <c r="S96" s="421" t="s">
        <v>1585</v>
      </c>
      <c r="T96" s="419">
        <v>2024</v>
      </c>
      <c r="U96" s="196" t="s">
        <v>160</v>
      </c>
      <c r="V96" s="144" t="s">
        <v>210</v>
      </c>
    </row>
  </sheetData>
  <phoneticPr fontId="41" type="noConversion"/>
  <dataValidations count="7">
    <dataValidation type="list" allowBlank="1" showInputMessage="1" showErrorMessage="1" sqref="U3:U96" xr:uid="{1DFA3730-6209-41DB-A8A3-58E5C2D1388F}">
      <formula1>$A$18:$A$20</formula1>
    </dataValidation>
    <dataValidation type="list" allowBlank="1" showInputMessage="1" showErrorMessage="1" sqref="N3:N96" xr:uid="{CF18F25C-A192-4163-AF81-4DA0FC0B7989}">
      <formula1>$A$8:$A$17</formula1>
    </dataValidation>
    <dataValidation type="list" allowBlank="1" showInputMessage="1" showErrorMessage="1" sqref="K3:K96" xr:uid="{4F31158A-88B8-46B0-A332-CDE9D3A0D557}">
      <formula1>$A$4:$A$7</formula1>
    </dataValidation>
    <dataValidation type="list" allowBlank="1" showInputMessage="1" showErrorMessage="1" sqref="G3:G96" xr:uid="{8137933A-848B-4EE6-B199-D22E18E9EC05}">
      <formula1>$A$1:$A$3</formula1>
    </dataValidation>
    <dataValidation type="list" allowBlank="1" showInputMessage="1" showErrorMessage="1" sqref="Q3:Q96" xr:uid="{6E0C8088-E2E9-4252-BECC-E65864A37288}">
      <formula1>$A$21:$A$30</formula1>
    </dataValidation>
    <dataValidation type="list" allowBlank="1" showInputMessage="1" showErrorMessage="1" sqref="R3:R96" xr:uid="{CEED5D0A-1E28-42A9-A303-EB3514BE7B99}">
      <formula1>$B$5:$B$11</formula1>
    </dataValidation>
    <dataValidation type="list" allowBlank="1" showInputMessage="1" showErrorMessage="1" sqref="S3:S96" xr:uid="{562443BF-E2E1-4C31-8D38-26D90C78202E}">
      <formula1>$B$13:$B$39</formula1>
    </dataValidation>
  </dataValidations>
  <hyperlinks>
    <hyperlink ref="P11" r:id="rId1" xr:uid="{00000000-0004-0000-0D00-000000000000}"/>
    <hyperlink ref="P12" r:id="rId2" xr:uid="{00000000-0004-0000-0D00-000001000000}"/>
    <hyperlink ref="P56" r:id="rId3" xr:uid="{00000000-0004-0000-0D00-000002000000}"/>
    <hyperlink ref="P67" r:id="rId4" xr:uid="{00000000-0004-0000-0D00-000003000000}"/>
    <hyperlink ref="P68" r:id="rId5" xr:uid="{00000000-0004-0000-0D00-000004000000}"/>
    <hyperlink ref="P71" r:id="rId6" xr:uid="{00000000-0004-0000-0D00-000005000000}"/>
  </hyperlinks>
  <pageMargins left="0.7" right="0.7" top="0.75" bottom="0.75" header="0.3" footer="0.3"/>
  <tableParts count="1"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2FBC-3EC5-4D8D-9B80-0C13F0BDEBA1}">
  <dimension ref="A2:AA44"/>
  <sheetViews>
    <sheetView topLeftCell="C1" zoomScale="81" workbookViewId="0">
      <selection activeCell="H21" sqref="H21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6" width="11.5546875" style="144"/>
    <col min="7" max="7" width="20.44140625" style="144" customWidth="1"/>
    <col min="8" max="8" width="24.109375" style="144" bestFit="1" customWidth="1"/>
    <col min="9" max="9" width="24.33203125" style="144" customWidth="1"/>
    <col min="10" max="10" width="12.109375" style="144" bestFit="1" customWidth="1"/>
    <col min="11" max="11" width="11.5546875" style="144"/>
    <col min="12" max="12" width="23.33203125" style="144" customWidth="1"/>
    <col min="13" max="13" width="11.6640625" style="144" bestFit="1" customWidth="1"/>
    <col min="14" max="14" width="17.33203125" style="144" customWidth="1"/>
    <col min="15" max="15" width="11.5546875" style="144"/>
    <col min="16" max="16" width="21" style="144" customWidth="1"/>
    <col min="17" max="17" width="17.109375" style="144" customWidth="1"/>
    <col min="18" max="18" width="13.44140625" style="144" customWidth="1"/>
    <col min="19" max="19" width="11.5546875" style="144"/>
    <col min="20" max="20" width="29.6640625" style="144" customWidth="1"/>
    <col min="21" max="21" width="28.3320312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53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2">
      <c r="A3" s="144" t="s">
        <v>129</v>
      </c>
      <c r="D3" s="153" t="s">
        <v>2289</v>
      </c>
      <c r="E3" s="150">
        <v>16</v>
      </c>
      <c r="F3" s="150" t="s">
        <v>1573</v>
      </c>
      <c r="G3" s="138" t="s">
        <v>129</v>
      </c>
      <c r="H3" s="324" t="s">
        <v>1928</v>
      </c>
      <c r="I3" s="324" t="s">
        <v>1929</v>
      </c>
      <c r="J3" s="324">
        <v>98577775</v>
      </c>
      <c r="K3" s="138" t="s">
        <v>1187</v>
      </c>
      <c r="L3" s="147">
        <v>25447</v>
      </c>
      <c r="M3" s="158">
        <f ca="1">DATEDIF(L3,TODAY(),"Y")</f>
        <v>56</v>
      </c>
      <c r="N3" s="138" t="s">
        <v>1588</v>
      </c>
      <c r="O3" s="138"/>
      <c r="P3" s="324" t="s">
        <v>1188</v>
      </c>
      <c r="Q3" s="138" t="s">
        <v>1815</v>
      </c>
      <c r="R3" s="312" t="s">
        <v>333</v>
      </c>
      <c r="S3" s="318" t="s">
        <v>1585</v>
      </c>
      <c r="T3" s="138">
        <v>2012</v>
      </c>
      <c r="U3" s="151" t="s">
        <v>160</v>
      </c>
      <c r="V3" s="144" t="s">
        <v>210</v>
      </c>
    </row>
    <row r="4" spans="1:22">
      <c r="D4" s="150"/>
      <c r="E4" s="150">
        <v>16</v>
      </c>
      <c r="F4" s="150" t="s">
        <v>1573</v>
      </c>
      <c r="G4" s="138" t="s">
        <v>129</v>
      </c>
      <c r="H4" s="324" t="s">
        <v>1928</v>
      </c>
      <c r="I4" s="324" t="s">
        <v>1930</v>
      </c>
      <c r="J4" s="324">
        <v>1001015852</v>
      </c>
      <c r="K4" s="138" t="s">
        <v>1187</v>
      </c>
      <c r="L4" s="147">
        <v>37558</v>
      </c>
      <c r="M4" s="158">
        <f ca="1">DATEDIF(L4,TODAY(),"Y")</f>
        <v>23</v>
      </c>
      <c r="N4" s="138" t="s">
        <v>1588</v>
      </c>
      <c r="O4" s="138"/>
      <c r="P4" s="324" t="s">
        <v>1189</v>
      </c>
      <c r="Q4" s="138" t="s">
        <v>1573</v>
      </c>
      <c r="R4" s="312" t="s">
        <v>333</v>
      </c>
      <c r="S4" s="318" t="s">
        <v>1585</v>
      </c>
      <c r="T4" s="138">
        <v>2012</v>
      </c>
      <c r="U4" s="151" t="s">
        <v>160</v>
      </c>
      <c r="V4" s="144" t="s">
        <v>210</v>
      </c>
    </row>
    <row r="5" spans="1:22">
      <c r="A5" s="144" t="s">
        <v>1191</v>
      </c>
      <c r="B5" s="144" t="s">
        <v>333</v>
      </c>
      <c r="D5" s="150"/>
      <c r="E5" s="150">
        <v>16</v>
      </c>
      <c r="F5" s="150" t="s">
        <v>1573</v>
      </c>
      <c r="G5" s="138" t="s">
        <v>129</v>
      </c>
      <c r="H5" s="324" t="s">
        <v>1928</v>
      </c>
      <c r="I5" s="324" t="s">
        <v>1190</v>
      </c>
      <c r="J5" s="324">
        <v>43005028</v>
      </c>
      <c r="K5" s="138" t="s">
        <v>1191</v>
      </c>
      <c r="L5" s="147">
        <v>22164</v>
      </c>
      <c r="M5" s="158">
        <f ca="1">DATEDIF(L5,TODAY(),"Y")</f>
        <v>65</v>
      </c>
      <c r="N5" s="138" t="s">
        <v>1588</v>
      </c>
      <c r="O5" s="138"/>
      <c r="P5" s="324" t="s">
        <v>1192</v>
      </c>
      <c r="Q5" s="138" t="s">
        <v>1573</v>
      </c>
      <c r="R5" s="312" t="s">
        <v>891</v>
      </c>
      <c r="S5" s="318" t="s">
        <v>1585</v>
      </c>
      <c r="T5" s="138">
        <v>2012</v>
      </c>
      <c r="U5" s="151" t="s">
        <v>160</v>
      </c>
      <c r="V5" s="144" t="s">
        <v>210</v>
      </c>
    </row>
    <row r="6" spans="1:22">
      <c r="A6" s="144" t="s">
        <v>1187</v>
      </c>
      <c r="B6" s="144" t="s">
        <v>164</v>
      </c>
      <c r="D6" s="150"/>
      <c r="E6" s="150">
        <v>16</v>
      </c>
      <c r="F6" s="150" t="s">
        <v>1573</v>
      </c>
      <c r="G6" s="138" t="s">
        <v>129</v>
      </c>
      <c r="H6" s="324" t="s">
        <v>1928</v>
      </c>
      <c r="I6" s="324" t="s">
        <v>1193</v>
      </c>
      <c r="J6" s="324">
        <v>32019406</v>
      </c>
      <c r="K6" s="138" t="s">
        <v>1191</v>
      </c>
      <c r="L6" s="147"/>
      <c r="M6" s="158"/>
      <c r="N6" s="138" t="s">
        <v>1588</v>
      </c>
      <c r="O6" s="138"/>
      <c r="P6" s="324" t="s">
        <v>1192</v>
      </c>
      <c r="Q6" s="138" t="s">
        <v>1573</v>
      </c>
      <c r="R6" s="312" t="s">
        <v>891</v>
      </c>
      <c r="S6" s="318" t="s">
        <v>1585</v>
      </c>
      <c r="T6" s="138">
        <v>2012</v>
      </c>
      <c r="U6" s="151" t="s">
        <v>160</v>
      </c>
      <c r="V6" s="144" t="s">
        <v>210</v>
      </c>
    </row>
    <row r="7" spans="1:22">
      <c r="A7" s="144" t="s">
        <v>1585</v>
      </c>
      <c r="B7" s="144" t="s">
        <v>321</v>
      </c>
      <c r="D7" s="150"/>
      <c r="E7" s="150">
        <v>16</v>
      </c>
      <c r="F7" s="150" t="s">
        <v>1573</v>
      </c>
      <c r="G7" s="138" t="s">
        <v>129</v>
      </c>
      <c r="H7" s="324" t="s">
        <v>1928</v>
      </c>
      <c r="I7" s="324" t="s">
        <v>1194</v>
      </c>
      <c r="J7" s="324">
        <v>1001139476</v>
      </c>
      <c r="K7" s="138" t="s">
        <v>1187</v>
      </c>
      <c r="L7" s="147">
        <v>37351</v>
      </c>
      <c r="M7" s="158">
        <f ca="1">DATEDIF(L7,TODAY(),"Y")</f>
        <v>24</v>
      </c>
      <c r="N7" s="138" t="s">
        <v>1588</v>
      </c>
      <c r="O7" s="138"/>
      <c r="P7" s="324"/>
      <c r="Q7" s="138" t="s">
        <v>1573</v>
      </c>
      <c r="R7" s="312" t="s">
        <v>333</v>
      </c>
      <c r="S7" s="318" t="s">
        <v>1585</v>
      </c>
      <c r="T7" s="138">
        <v>2012</v>
      </c>
      <c r="U7" s="151" t="s">
        <v>160</v>
      </c>
      <c r="V7" s="144" t="s">
        <v>210</v>
      </c>
    </row>
    <row r="8" spans="1:22">
      <c r="B8" s="144" t="s">
        <v>192</v>
      </c>
      <c r="D8" s="431"/>
      <c r="E8" s="431">
        <v>16</v>
      </c>
      <c r="F8" s="431" t="s">
        <v>1573</v>
      </c>
      <c r="G8" s="138" t="s">
        <v>129</v>
      </c>
      <c r="H8" s="900" t="s">
        <v>1928</v>
      </c>
      <c r="I8" s="900" t="s">
        <v>1195</v>
      </c>
      <c r="J8" s="900">
        <v>1011392573</v>
      </c>
      <c r="K8" s="406" t="s">
        <v>1191</v>
      </c>
      <c r="L8" s="432">
        <v>38435</v>
      </c>
      <c r="M8" s="433">
        <f ca="1">DATEDIF(L8,TODAY(),"Y")</f>
        <v>21</v>
      </c>
      <c r="N8" s="406" t="s">
        <v>1588</v>
      </c>
      <c r="O8" s="406"/>
      <c r="P8" s="900" t="s">
        <v>1196</v>
      </c>
      <c r="Q8" s="406" t="s">
        <v>1573</v>
      </c>
      <c r="R8" s="434" t="s">
        <v>333</v>
      </c>
      <c r="S8" s="435" t="s">
        <v>1585</v>
      </c>
      <c r="T8" s="406">
        <v>2012</v>
      </c>
      <c r="U8" s="407" t="s">
        <v>160</v>
      </c>
      <c r="V8" s="173" t="s">
        <v>210</v>
      </c>
    </row>
    <row r="9" spans="1:22">
      <c r="A9" s="144" t="s">
        <v>56</v>
      </c>
      <c r="B9" s="144" t="s">
        <v>876</v>
      </c>
      <c r="D9" s="138"/>
      <c r="E9" s="138">
        <v>16</v>
      </c>
      <c r="F9" s="138" t="s">
        <v>1573</v>
      </c>
      <c r="G9" s="309" t="s">
        <v>129</v>
      </c>
      <c r="H9" s="138" t="s">
        <v>2328</v>
      </c>
      <c r="I9" s="901"/>
      <c r="J9" s="901"/>
      <c r="K9" s="901"/>
      <c r="L9" s="901"/>
      <c r="M9" s="901"/>
      <c r="N9" s="901"/>
      <c r="O9" s="901"/>
      <c r="P9" s="901"/>
      <c r="Q9" s="901"/>
      <c r="R9" s="901"/>
      <c r="S9" s="901"/>
      <c r="T9" s="901"/>
      <c r="U9" s="901"/>
      <c r="V9" s="901"/>
    </row>
    <row r="10" spans="1:22">
      <c r="A10" s="144" t="s">
        <v>212</v>
      </c>
      <c r="B10" s="144" t="s">
        <v>891</v>
      </c>
      <c r="D10" s="173"/>
      <c r="E10" s="173"/>
      <c r="F10" s="173"/>
      <c r="G10" s="899"/>
      <c r="H10" s="173"/>
    </row>
    <row r="11" spans="1:22">
      <c r="A11" s="144" t="s">
        <v>73</v>
      </c>
      <c r="B11" s="144" t="s">
        <v>1585</v>
      </c>
      <c r="C11" s="233"/>
    </row>
    <row r="12" spans="1:22">
      <c r="A12" s="144" t="s">
        <v>272</v>
      </c>
    </row>
    <row r="13" spans="1:22">
      <c r="A13" s="144" t="s">
        <v>114</v>
      </c>
      <c r="B13" s="325" t="s">
        <v>461</v>
      </c>
    </row>
    <row r="14" spans="1:22">
      <c r="A14" s="144" t="s">
        <v>1586</v>
      </c>
      <c r="B14" s="325" t="s">
        <v>663</v>
      </c>
    </row>
    <row r="15" spans="1:22">
      <c r="A15" s="144" t="s">
        <v>227</v>
      </c>
      <c r="B15" s="325" t="s">
        <v>170</v>
      </c>
    </row>
    <row r="16" spans="1:22">
      <c r="A16" s="144" t="s">
        <v>1587</v>
      </c>
      <c r="B16" s="325" t="s">
        <v>193</v>
      </c>
    </row>
    <row r="17" spans="1:27">
      <c r="A17" s="144" t="s">
        <v>1588</v>
      </c>
      <c r="B17" s="325" t="s">
        <v>1881</v>
      </c>
    </row>
    <row r="18" spans="1:27">
      <c r="B18" s="325" t="s">
        <v>1882</v>
      </c>
      <c r="C18" s="233"/>
    </row>
    <row r="19" spans="1:27">
      <c r="A19" s="144" t="s">
        <v>160</v>
      </c>
      <c r="B19" s="325" t="s">
        <v>405</v>
      </c>
    </row>
    <row r="20" spans="1:27">
      <c r="A20" s="144" t="s">
        <v>166</v>
      </c>
      <c r="B20" s="325" t="s">
        <v>1883</v>
      </c>
      <c r="W20" s="173"/>
      <c r="X20" s="173"/>
      <c r="Y20" s="173"/>
      <c r="Z20" s="173"/>
      <c r="AA20" s="173"/>
    </row>
    <row r="21" spans="1:27">
      <c r="B21" s="325" t="s">
        <v>230</v>
      </c>
      <c r="W21" s="197"/>
      <c r="X21" s="197"/>
      <c r="Y21" s="230"/>
      <c r="Z21" s="173"/>
      <c r="AA21" s="173"/>
    </row>
    <row r="22" spans="1:27">
      <c r="A22" s="144" t="s">
        <v>1797</v>
      </c>
      <c r="B22" s="325" t="s">
        <v>1884</v>
      </c>
    </row>
    <row r="23" spans="1:27">
      <c r="A23" s="144" t="s">
        <v>1798</v>
      </c>
      <c r="B23" s="325" t="s">
        <v>1885</v>
      </c>
      <c r="C23" s="233"/>
    </row>
    <row r="24" spans="1:27">
      <c r="A24" s="144" t="s">
        <v>1799</v>
      </c>
      <c r="B24" s="325" t="s">
        <v>1886</v>
      </c>
    </row>
    <row r="25" spans="1:27">
      <c r="A25" s="144" t="s">
        <v>1800</v>
      </c>
      <c r="B25" s="325" t="s">
        <v>1887</v>
      </c>
    </row>
    <row r="26" spans="1:27">
      <c r="A26" s="144" t="s">
        <v>1801</v>
      </c>
      <c r="B26" s="325" t="s">
        <v>1888</v>
      </c>
    </row>
    <row r="27" spans="1:27">
      <c r="A27" s="144" t="s">
        <v>1573</v>
      </c>
      <c r="B27" s="325" t="s">
        <v>1889</v>
      </c>
    </row>
    <row r="28" spans="1:27">
      <c r="A28" s="144" t="s">
        <v>1803</v>
      </c>
      <c r="B28" s="325" t="s">
        <v>1890</v>
      </c>
    </row>
    <row r="29" spans="1:27">
      <c r="A29" s="144" t="s">
        <v>1802</v>
      </c>
      <c r="B29" s="325" t="s">
        <v>1891</v>
      </c>
    </row>
    <row r="30" spans="1:27">
      <c r="A30" s="144" t="s">
        <v>1804</v>
      </c>
      <c r="B30" s="325" t="s">
        <v>1892</v>
      </c>
    </row>
    <row r="31" spans="1:27">
      <c r="A31" s="144" t="s">
        <v>1806</v>
      </c>
      <c r="B31" s="325" t="s">
        <v>1893</v>
      </c>
    </row>
    <row r="32" spans="1:27">
      <c r="A32" s="144" t="s">
        <v>1805</v>
      </c>
      <c r="B32" s="325" t="s">
        <v>1894</v>
      </c>
    </row>
    <row r="33" spans="1:2">
      <c r="A33" s="144" t="s">
        <v>1807</v>
      </c>
      <c r="B33" s="325" t="s">
        <v>1895</v>
      </c>
    </row>
    <row r="34" spans="1:2">
      <c r="A34" s="144" t="s">
        <v>1808</v>
      </c>
      <c r="B34" s="325" t="s">
        <v>1896</v>
      </c>
    </row>
    <row r="35" spans="1:2">
      <c r="A35" s="144" t="s">
        <v>1274</v>
      </c>
      <c r="B35" s="144" t="s">
        <v>1899</v>
      </c>
    </row>
    <row r="36" spans="1:2">
      <c r="A36" s="144" t="s">
        <v>1809</v>
      </c>
      <c r="B36" s="144" t="s">
        <v>1900</v>
      </c>
    </row>
    <row r="37" spans="1:2">
      <c r="A37" s="144" t="s">
        <v>1810</v>
      </c>
      <c r="B37" s="144" t="s">
        <v>1898</v>
      </c>
    </row>
    <row r="38" spans="1:2">
      <c r="A38" s="144" t="s">
        <v>1811</v>
      </c>
      <c r="B38" s="144" t="s">
        <v>218</v>
      </c>
    </row>
    <row r="39" spans="1:2">
      <c r="A39" s="144" t="s">
        <v>1812</v>
      </c>
      <c r="B39" s="144" t="s">
        <v>1585</v>
      </c>
    </row>
    <row r="40" spans="1:2">
      <c r="A40" s="144" t="s">
        <v>1813</v>
      </c>
    </row>
    <row r="41" spans="1:2">
      <c r="A41" s="144" t="s">
        <v>1814</v>
      </c>
    </row>
    <row r="42" spans="1:2">
      <c r="A42" s="144" t="s">
        <v>1815</v>
      </c>
    </row>
    <row r="43" spans="1:2">
      <c r="A43" s="144" t="s">
        <v>1816</v>
      </c>
    </row>
    <row r="44" spans="1:2">
      <c r="B44" s="233"/>
    </row>
  </sheetData>
  <dataValidations count="7">
    <dataValidation type="list" allowBlank="1" showInputMessage="1" showErrorMessage="1" sqref="K3:K8" xr:uid="{02769F20-3DAD-4602-924D-6E0B999F264B}">
      <formula1>$A$4:$A$7</formula1>
    </dataValidation>
    <dataValidation type="list" allowBlank="1" showInputMessage="1" showErrorMessage="1" sqref="N3:N8" xr:uid="{8CE62C21-E977-44A6-9DA3-B2F447C337E2}">
      <formula1>$A$8:$A$17</formula1>
    </dataValidation>
    <dataValidation type="list" allowBlank="1" showInputMessage="1" showErrorMessage="1" sqref="U3:U8" xr:uid="{89F2D10B-CCF5-4D66-AB90-C78717918738}">
      <formula1>$A$18:$A$20</formula1>
    </dataValidation>
    <dataValidation type="list" allowBlank="1" showInputMessage="1" showErrorMessage="1" sqref="Q3:Q8" xr:uid="{F04F3630-A739-4340-9DBE-3E071EA2A8EC}">
      <formula1>$A$21:$A$43</formula1>
    </dataValidation>
    <dataValidation type="list" allowBlank="1" showInputMessage="1" showErrorMessage="1" sqref="R3:R8" xr:uid="{EAC10427-F953-414D-AC7F-457D538DA566}">
      <formula1>$B$5:$B$11</formula1>
    </dataValidation>
    <dataValidation type="list" allowBlank="1" showInputMessage="1" showErrorMessage="1" sqref="S3:S8" xr:uid="{7D23700C-4902-4545-8739-3DB6CD948AFC}">
      <formula1>$B$13:$B$39</formula1>
    </dataValidation>
    <dataValidation type="list" allowBlank="1" showInputMessage="1" showErrorMessage="1" sqref="G3:G16" xr:uid="{B4A4E472-8DDB-4E7D-B015-0C8365D147C7}">
      <formula1>$A$1:$A$3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0EEF-616D-4E72-8141-EBD18C0251CC}">
  <dimension ref="A2:AA44"/>
  <sheetViews>
    <sheetView topLeftCell="H1" zoomScale="75" workbookViewId="0">
      <selection activeCell="E3" sqref="E3:V3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4" width="11.6640625" style="144" bestFit="1" customWidth="1"/>
    <col min="5" max="5" width="11.6640625" style="144" customWidth="1"/>
    <col min="6" max="6" width="44.5546875" style="144" bestFit="1" customWidth="1"/>
    <col min="7" max="7" width="20.6640625" style="144" customWidth="1"/>
    <col min="8" max="8" width="18.33203125" style="144" customWidth="1"/>
    <col min="9" max="9" width="28.6640625" style="144" bestFit="1" customWidth="1"/>
    <col min="10" max="10" width="11.6640625" style="144" bestFit="1" customWidth="1"/>
    <col min="11" max="11" width="11.5546875" style="144"/>
    <col min="12" max="12" width="23.44140625" style="144" customWidth="1"/>
    <col min="13" max="13" width="11.6640625" style="144" bestFit="1" customWidth="1"/>
    <col min="14" max="14" width="17.44140625" style="144" customWidth="1"/>
    <col min="15" max="15" width="12.6640625" style="144" bestFit="1" customWidth="1"/>
    <col min="16" max="16" width="21.33203125" style="144" customWidth="1"/>
    <col min="17" max="17" width="11.5546875" style="144"/>
    <col min="18" max="18" width="13.44140625" style="144" customWidth="1"/>
    <col min="19" max="19" width="11.5546875" style="144"/>
    <col min="20" max="20" width="30" style="144" customWidth="1"/>
    <col min="21" max="21" width="28.554687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53" t="s">
        <v>1854</v>
      </c>
      <c r="G2" s="154" t="s">
        <v>1584</v>
      </c>
      <c r="H2" s="154" t="s">
        <v>418</v>
      </c>
      <c r="I2" s="154" t="s">
        <v>1410</v>
      </c>
      <c r="J2" s="154" t="s">
        <v>5</v>
      </c>
      <c r="K2" s="154" t="s">
        <v>6</v>
      </c>
      <c r="L2" s="154" t="s">
        <v>7</v>
      </c>
      <c r="M2" s="154" t="s">
        <v>8</v>
      </c>
      <c r="N2" s="154" t="s">
        <v>9</v>
      </c>
      <c r="O2" s="154" t="s">
        <v>1589</v>
      </c>
      <c r="P2" s="154" t="s">
        <v>11</v>
      </c>
      <c r="Q2" s="154" t="s">
        <v>12</v>
      </c>
      <c r="R2" s="154" t="s">
        <v>14</v>
      </c>
      <c r="S2" s="154" t="s">
        <v>16</v>
      </c>
      <c r="T2" s="154" t="s">
        <v>1590</v>
      </c>
      <c r="U2" s="155" t="s">
        <v>18</v>
      </c>
      <c r="V2" s="154" t="s">
        <v>20</v>
      </c>
    </row>
    <row r="3" spans="1:22">
      <c r="A3" s="144" t="s">
        <v>129</v>
      </c>
      <c r="D3" s="752"/>
      <c r="E3" s="753">
        <v>50</v>
      </c>
      <c r="F3" s="753" t="s">
        <v>1837</v>
      </c>
      <c r="G3" s="755" t="s">
        <v>129</v>
      </c>
      <c r="H3" s="902" t="s">
        <v>1197</v>
      </c>
      <c r="I3" s="902" t="s">
        <v>1198</v>
      </c>
      <c r="J3" s="903">
        <v>98580736</v>
      </c>
      <c r="K3" s="755" t="s">
        <v>1187</v>
      </c>
      <c r="L3" s="765">
        <v>25186</v>
      </c>
      <c r="M3" s="757">
        <f ca="1">DATEDIF(L3,TODAY(),"Y")</f>
        <v>57</v>
      </c>
      <c r="N3" s="755" t="s">
        <v>114</v>
      </c>
      <c r="O3" s="904">
        <v>3137586884</v>
      </c>
      <c r="P3" s="904" t="s">
        <v>1199</v>
      </c>
      <c r="Q3" s="755" t="s">
        <v>1818</v>
      </c>
      <c r="R3" s="836" t="s">
        <v>333</v>
      </c>
      <c r="S3" s="837" t="s">
        <v>193</v>
      </c>
      <c r="T3" s="755">
        <v>2008</v>
      </c>
      <c r="U3" s="760" t="s">
        <v>166</v>
      </c>
      <c r="V3" s="761" t="s">
        <v>210</v>
      </c>
    </row>
    <row r="4" spans="1:22">
      <c r="D4" s="431"/>
      <c r="E4" s="431"/>
      <c r="F4" s="431"/>
      <c r="G4" s="406"/>
      <c r="H4" s="406"/>
      <c r="I4" s="406"/>
      <c r="J4" s="406"/>
      <c r="K4" s="406"/>
      <c r="L4" s="432"/>
      <c r="M4" s="433"/>
      <c r="N4" s="406"/>
      <c r="O4" s="406"/>
      <c r="P4" s="406"/>
      <c r="Q4" s="406"/>
      <c r="R4" s="434"/>
      <c r="S4" s="435"/>
      <c r="T4" s="406"/>
      <c r="U4" s="407"/>
    </row>
    <row r="5" spans="1:22">
      <c r="A5" s="144" t="s">
        <v>1191</v>
      </c>
      <c r="B5" s="140" t="s">
        <v>333</v>
      </c>
    </row>
    <row r="6" spans="1:22">
      <c r="A6" s="144" t="s">
        <v>1187</v>
      </c>
      <c r="B6" s="140" t="s">
        <v>164</v>
      </c>
    </row>
    <row r="7" spans="1:22">
      <c r="A7" s="144" t="s">
        <v>1585</v>
      </c>
      <c r="B7" s="140" t="s">
        <v>321</v>
      </c>
      <c r="I7" s="233"/>
    </row>
    <row r="8" spans="1:22">
      <c r="B8" s="140" t="s">
        <v>192</v>
      </c>
      <c r="I8" s="233"/>
    </row>
    <row r="9" spans="1:22">
      <c r="A9" s="144" t="s">
        <v>56</v>
      </c>
      <c r="B9" s="140" t="s">
        <v>876</v>
      </c>
      <c r="I9" s="233"/>
    </row>
    <row r="10" spans="1:22">
      <c r="A10" s="144" t="s">
        <v>212</v>
      </c>
      <c r="B10" s="140" t="s">
        <v>891</v>
      </c>
      <c r="I10" s="233"/>
    </row>
    <row r="11" spans="1:22">
      <c r="A11" s="144" t="s">
        <v>73</v>
      </c>
      <c r="B11" s="140" t="s">
        <v>1585</v>
      </c>
      <c r="C11" s="231"/>
      <c r="I11" s="233"/>
    </row>
    <row r="12" spans="1:22">
      <c r="A12" s="144" t="s">
        <v>272</v>
      </c>
    </row>
    <row r="13" spans="1:22">
      <c r="A13" s="144" t="s">
        <v>114</v>
      </c>
      <c r="B13" s="323" t="s">
        <v>461</v>
      </c>
    </row>
    <row r="14" spans="1:22">
      <c r="A14" s="144" t="s">
        <v>1586</v>
      </c>
      <c r="B14" s="323" t="s">
        <v>663</v>
      </c>
    </row>
    <row r="15" spans="1:22">
      <c r="A15" s="144" t="s">
        <v>227</v>
      </c>
      <c r="B15" s="323" t="s">
        <v>170</v>
      </c>
    </row>
    <row r="16" spans="1:22">
      <c r="A16" s="144" t="s">
        <v>1587</v>
      </c>
      <c r="B16" s="323" t="s">
        <v>193</v>
      </c>
    </row>
    <row r="17" spans="1:27">
      <c r="A17" s="144" t="s">
        <v>1588</v>
      </c>
      <c r="B17" s="323" t="s">
        <v>1881</v>
      </c>
    </row>
    <row r="18" spans="1:27">
      <c r="B18" s="323" t="s">
        <v>1882</v>
      </c>
      <c r="C18" s="231"/>
    </row>
    <row r="19" spans="1:27">
      <c r="A19" s="144" t="s">
        <v>160</v>
      </c>
      <c r="B19" s="323" t="s">
        <v>405</v>
      </c>
    </row>
    <row r="20" spans="1:27">
      <c r="A20" s="144" t="s">
        <v>166</v>
      </c>
      <c r="B20" s="323" t="s">
        <v>1883</v>
      </c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</row>
    <row r="21" spans="1:27">
      <c r="B21" s="323" t="s">
        <v>230</v>
      </c>
      <c r="H21" s="436"/>
      <c r="I21" s="436"/>
      <c r="J21" s="436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7"/>
      <c r="Z21" s="173"/>
      <c r="AA21" s="173"/>
    </row>
    <row r="22" spans="1:27">
      <c r="A22" s="144" t="s">
        <v>1817</v>
      </c>
      <c r="B22" s="323" t="s">
        <v>1884</v>
      </c>
    </row>
    <row r="23" spans="1:27">
      <c r="A23" s="144" t="s">
        <v>1818</v>
      </c>
      <c r="B23" s="323" t="s">
        <v>1885</v>
      </c>
      <c r="C23" s="231"/>
    </row>
    <row r="24" spans="1:27">
      <c r="A24" s="144" t="s">
        <v>1819</v>
      </c>
      <c r="B24" s="323" t="s">
        <v>1886</v>
      </c>
    </row>
    <row r="25" spans="1:27">
      <c r="A25" s="144" t="s">
        <v>1291</v>
      </c>
      <c r="B25" s="323" t="s">
        <v>1887</v>
      </c>
    </row>
    <row r="26" spans="1:27">
      <c r="A26" s="144" t="s">
        <v>1820</v>
      </c>
      <c r="B26" s="323" t="s">
        <v>1888</v>
      </c>
    </row>
    <row r="27" spans="1:27">
      <c r="A27" s="144" t="s">
        <v>1821</v>
      </c>
      <c r="B27" s="323" t="s">
        <v>1889</v>
      </c>
    </row>
    <row r="28" spans="1:27">
      <c r="A28" s="144" t="s">
        <v>1822</v>
      </c>
      <c r="B28" s="323" t="s">
        <v>1890</v>
      </c>
    </row>
    <row r="29" spans="1:27">
      <c r="A29" s="144" t="s">
        <v>1823</v>
      </c>
      <c r="B29" s="323" t="s">
        <v>1891</v>
      </c>
    </row>
    <row r="30" spans="1:27">
      <c r="B30" s="323" t="s">
        <v>1892</v>
      </c>
    </row>
    <row r="31" spans="1:27">
      <c r="B31" s="323" t="s">
        <v>1893</v>
      </c>
    </row>
    <row r="32" spans="1:27">
      <c r="B32" s="323" t="s">
        <v>1894</v>
      </c>
    </row>
    <row r="33" spans="2:2">
      <c r="B33" s="323" t="s">
        <v>1895</v>
      </c>
    </row>
    <row r="34" spans="2:2">
      <c r="B34" s="323" t="s">
        <v>1896</v>
      </c>
    </row>
    <row r="35" spans="2:2">
      <c r="B35" s="144" t="s">
        <v>1899</v>
      </c>
    </row>
    <row r="36" spans="2:2">
      <c r="B36" s="144" t="s">
        <v>1900</v>
      </c>
    </row>
    <row r="37" spans="2:2">
      <c r="B37" s="140" t="s">
        <v>1898</v>
      </c>
    </row>
    <row r="38" spans="2:2">
      <c r="B38" s="144" t="s">
        <v>218</v>
      </c>
    </row>
    <row r="39" spans="2:2">
      <c r="B39" s="144" t="s">
        <v>1585</v>
      </c>
    </row>
    <row r="44" spans="2:2">
      <c r="B44" s="231"/>
    </row>
  </sheetData>
  <dataValidations count="7">
    <dataValidation type="list" allowBlank="1" showInputMessage="1" showErrorMessage="1" sqref="U3:U4" xr:uid="{D84E341E-68FE-457F-8EC1-7A1968D4E336}">
      <formula1>$A$18:$A$20</formula1>
    </dataValidation>
    <dataValidation type="list" allowBlank="1" showInputMessage="1" showErrorMessage="1" sqref="N3:N4" xr:uid="{2AE6F5E2-84B9-4124-AF98-C92E592DB776}">
      <formula1>$A$8:$A$17</formula1>
    </dataValidation>
    <dataValidation type="list" allowBlank="1" showInputMessage="1" showErrorMessage="1" sqref="K3:K4" xr:uid="{E87CF0EC-8555-4BD6-93C3-0B2F394B2A86}">
      <formula1>$A$4:$A$7</formula1>
    </dataValidation>
    <dataValidation type="list" allowBlank="1" showInputMessage="1" showErrorMessage="1" sqref="G3:G23" xr:uid="{9E0B2022-DD28-4E8D-8DC5-2FE4CAE87893}">
      <formula1>$A$1:$A$3</formula1>
    </dataValidation>
    <dataValidation type="list" allowBlank="1" showInputMessage="1" showErrorMessage="1" sqref="Q3:Q4" xr:uid="{62C42B70-875F-4ED3-99DC-0EB3468AD84E}">
      <formula1>$A$21:$A$29</formula1>
    </dataValidation>
    <dataValidation type="list" allowBlank="1" showInputMessage="1" showErrorMessage="1" sqref="R3:R4" xr:uid="{3725BCBF-529C-4EDD-897A-A5A0F2EB8AEC}">
      <formula1>$B$5:$B$11</formula1>
    </dataValidation>
    <dataValidation type="list" allowBlank="1" showInputMessage="1" showErrorMessage="1" sqref="S3:S4" xr:uid="{96219D54-385F-4BF6-80A2-C04B5A436D2D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566D-A35E-450B-B66E-7FF3D70D9C62}">
  <dimension ref="A2:W44"/>
  <sheetViews>
    <sheetView topLeftCell="C1" zoomScale="110" zoomScaleNormal="110" workbookViewId="0">
      <selection activeCell="V16" sqref="E3:V16"/>
    </sheetView>
  </sheetViews>
  <sheetFormatPr baseColWidth="10" defaultColWidth="11.5546875" defaultRowHeight="14.4"/>
  <cols>
    <col min="1" max="1" width="22.6640625" style="144" bestFit="1" customWidth="1"/>
    <col min="2" max="3" width="22.6640625" style="144" customWidth="1"/>
    <col min="4" max="4" width="6.109375" style="144" customWidth="1"/>
    <col min="5" max="5" width="11.6640625" style="144" bestFit="1" customWidth="1"/>
    <col min="6" max="6" width="30.109375" style="144" bestFit="1" customWidth="1"/>
    <col min="7" max="7" width="18.33203125" style="144" customWidth="1"/>
    <col min="8" max="8" width="16.109375" style="144" customWidth="1"/>
    <col min="9" max="9" width="24.33203125" style="144" customWidth="1"/>
    <col min="10" max="10" width="12.88671875" style="144" bestFit="1" customWidth="1"/>
    <col min="11" max="11" width="11.5546875" style="144"/>
    <col min="12" max="12" width="20.5546875" style="144" customWidth="1"/>
    <col min="13" max="13" width="11.88671875" style="144" bestFit="1" customWidth="1"/>
    <col min="14" max="14" width="15.33203125" style="144" customWidth="1"/>
    <col min="15" max="15" width="12.88671875" style="144" bestFit="1" customWidth="1"/>
    <col min="16" max="16" width="18" style="144" customWidth="1"/>
    <col min="17" max="17" width="11.5546875" style="144"/>
    <col min="18" max="18" width="11.6640625" style="144" customWidth="1"/>
    <col min="19" max="19" width="11.5546875" style="144"/>
    <col min="20" max="20" width="33.6640625" style="144" customWidth="1"/>
    <col min="21" max="21" width="25.109375" style="144" customWidth="1"/>
    <col min="22" max="16384" width="11.5546875" style="144"/>
  </cols>
  <sheetData>
    <row r="2" spans="1:22">
      <c r="A2" s="144" t="s">
        <v>151</v>
      </c>
      <c r="D2" s="153" t="s">
        <v>417</v>
      </c>
      <c r="E2" s="153" t="s">
        <v>2288</v>
      </c>
      <c r="F2" s="138" t="s">
        <v>1854</v>
      </c>
      <c r="G2" s="138" t="s">
        <v>1584</v>
      </c>
      <c r="H2" s="138" t="s">
        <v>418</v>
      </c>
      <c r="I2" s="138" t="s">
        <v>1410</v>
      </c>
      <c r="J2" s="138" t="s">
        <v>5</v>
      </c>
      <c r="K2" s="138" t="s">
        <v>6</v>
      </c>
      <c r="L2" s="138" t="s">
        <v>7</v>
      </c>
      <c r="M2" s="138" t="s">
        <v>8</v>
      </c>
      <c r="N2" s="138" t="s">
        <v>9</v>
      </c>
      <c r="O2" s="138" t="s">
        <v>1589</v>
      </c>
      <c r="P2" s="138" t="s">
        <v>11</v>
      </c>
      <c r="Q2" s="138" t="s">
        <v>12</v>
      </c>
      <c r="R2" s="138" t="s">
        <v>14</v>
      </c>
      <c r="S2" s="138" t="s">
        <v>16</v>
      </c>
      <c r="T2" s="138" t="s">
        <v>1590</v>
      </c>
      <c r="U2" s="151" t="s">
        <v>18</v>
      </c>
      <c r="V2" s="553" t="s">
        <v>20</v>
      </c>
    </row>
    <row r="3" spans="1:22">
      <c r="A3" s="144" t="s">
        <v>129</v>
      </c>
      <c r="D3" s="755" t="s">
        <v>2289</v>
      </c>
      <c r="E3" s="755">
        <v>60</v>
      </c>
      <c r="F3" s="755" t="s">
        <v>1574</v>
      </c>
      <c r="G3" s="755" t="s">
        <v>129</v>
      </c>
      <c r="H3" s="905" t="s">
        <v>1200</v>
      </c>
      <c r="I3" s="905" t="s">
        <v>1208</v>
      </c>
      <c r="J3" s="906">
        <v>43560611</v>
      </c>
      <c r="K3" s="755" t="s">
        <v>1191</v>
      </c>
      <c r="L3" s="765">
        <v>26206</v>
      </c>
      <c r="M3" s="757">
        <f ca="1">DATEDIF(L3,TODAY(),"Y")</f>
        <v>54</v>
      </c>
      <c r="N3" s="755" t="s">
        <v>1588</v>
      </c>
      <c r="O3" s="906">
        <v>3052874096</v>
      </c>
      <c r="P3" s="907" t="s">
        <v>1209</v>
      </c>
      <c r="Q3" s="755" t="s">
        <v>1673</v>
      </c>
      <c r="R3" s="836" t="s">
        <v>333</v>
      </c>
      <c r="S3" s="837" t="s">
        <v>663</v>
      </c>
      <c r="T3" s="908"/>
      <c r="U3" s="760" t="s">
        <v>166</v>
      </c>
      <c r="V3" s="761" t="s">
        <v>210</v>
      </c>
    </row>
    <row r="4" spans="1:22" ht="28.8">
      <c r="D4" s="138"/>
      <c r="E4" s="200">
        <v>60</v>
      </c>
      <c r="F4" s="200" t="s">
        <v>1574</v>
      </c>
      <c r="G4" s="200" t="s">
        <v>129</v>
      </c>
      <c r="H4" s="444" t="s">
        <v>1200</v>
      </c>
      <c r="I4" s="447" t="s">
        <v>1201</v>
      </c>
      <c r="J4" s="445">
        <v>43111358</v>
      </c>
      <c r="K4" s="200" t="s">
        <v>1191</v>
      </c>
      <c r="L4" s="191">
        <v>29142</v>
      </c>
      <c r="M4" s="238">
        <f ca="1">DATEDIF(L4,TODAY(),"Y")</f>
        <v>46</v>
      </c>
      <c r="N4" s="200" t="s">
        <v>1588</v>
      </c>
      <c r="O4" s="445">
        <v>3197645686</v>
      </c>
      <c r="P4" s="448" t="s">
        <v>1202</v>
      </c>
      <c r="Q4" s="200" t="s">
        <v>1673</v>
      </c>
      <c r="R4" s="327" t="s">
        <v>321</v>
      </c>
      <c r="S4" s="328" t="s">
        <v>1585</v>
      </c>
      <c r="T4" s="447"/>
      <c r="U4" s="224" t="s">
        <v>160</v>
      </c>
      <c r="V4" s="144" t="s">
        <v>210</v>
      </c>
    </row>
    <row r="5" spans="1:22">
      <c r="A5" s="144" t="s">
        <v>1191</v>
      </c>
      <c r="B5" s="139" t="s">
        <v>333</v>
      </c>
      <c r="C5" s="139"/>
      <c r="D5" s="138"/>
      <c r="E5" s="200">
        <v>60</v>
      </c>
      <c r="F5" s="200" t="s">
        <v>1574</v>
      </c>
      <c r="G5" s="200" t="s">
        <v>129</v>
      </c>
      <c r="H5" s="444" t="s">
        <v>1200</v>
      </c>
      <c r="I5" s="447" t="s">
        <v>1203</v>
      </c>
      <c r="J5" s="445">
        <v>1128444193</v>
      </c>
      <c r="K5" s="200" t="s">
        <v>1191</v>
      </c>
      <c r="L5" s="191">
        <v>38182</v>
      </c>
      <c r="M5" s="238">
        <f t="shared" ref="M5:M8" ca="1" si="0">DATEDIF(L5,TODAY(),"Y")</f>
        <v>21</v>
      </c>
      <c r="N5" s="200" t="s">
        <v>1588</v>
      </c>
      <c r="O5" s="445">
        <v>3052972785</v>
      </c>
      <c r="P5" s="445" t="s">
        <v>1204</v>
      </c>
      <c r="Q5" s="200" t="s">
        <v>1673</v>
      </c>
      <c r="R5" s="327" t="s">
        <v>192</v>
      </c>
      <c r="S5" s="328" t="s">
        <v>230</v>
      </c>
      <c r="T5" s="447"/>
      <c r="U5" s="224" t="s">
        <v>160</v>
      </c>
      <c r="V5" s="144" t="s">
        <v>210</v>
      </c>
    </row>
    <row r="6" spans="1:22">
      <c r="A6" s="144" t="s">
        <v>1187</v>
      </c>
      <c r="B6" s="139" t="s">
        <v>164</v>
      </c>
      <c r="C6" s="139"/>
      <c r="D6" s="138"/>
      <c r="E6" s="200">
        <v>60</v>
      </c>
      <c r="F6" s="200" t="s">
        <v>1574</v>
      </c>
      <c r="G6" s="200" t="s">
        <v>129</v>
      </c>
      <c r="H6" s="444" t="s">
        <v>1200</v>
      </c>
      <c r="I6" s="447" t="s">
        <v>1205</v>
      </c>
      <c r="J6" s="445">
        <v>43166381</v>
      </c>
      <c r="K6" s="200" t="s">
        <v>1191</v>
      </c>
      <c r="L6" s="191">
        <v>29457</v>
      </c>
      <c r="M6" s="238">
        <f t="shared" ca="1" si="0"/>
        <v>45</v>
      </c>
      <c r="N6" s="200" t="s">
        <v>1588</v>
      </c>
      <c r="O6" s="445">
        <v>3042506438</v>
      </c>
      <c r="P6" s="449" t="s">
        <v>1206</v>
      </c>
      <c r="Q6" s="200" t="s">
        <v>1673</v>
      </c>
      <c r="R6" s="327" t="s">
        <v>321</v>
      </c>
      <c r="S6" s="328" t="s">
        <v>663</v>
      </c>
      <c r="T6" s="447"/>
      <c r="U6" s="224" t="s">
        <v>160</v>
      </c>
      <c r="V6" s="144" t="s">
        <v>210</v>
      </c>
    </row>
    <row r="7" spans="1:22">
      <c r="A7" s="144" t="s">
        <v>1585</v>
      </c>
      <c r="B7" s="139" t="s">
        <v>321</v>
      </c>
      <c r="C7" s="139"/>
      <c r="D7" s="138"/>
      <c r="E7" s="200">
        <v>60</v>
      </c>
      <c r="F7" s="200" t="s">
        <v>1574</v>
      </c>
      <c r="G7" s="200" t="s">
        <v>129</v>
      </c>
      <c r="H7" s="444" t="s">
        <v>1200</v>
      </c>
      <c r="I7" s="447" t="s">
        <v>1207</v>
      </c>
      <c r="J7" s="445">
        <v>43052117</v>
      </c>
      <c r="K7" s="200" t="s">
        <v>1191</v>
      </c>
      <c r="L7" s="191">
        <v>22958</v>
      </c>
      <c r="M7" s="238">
        <f t="shared" ca="1" si="0"/>
        <v>63</v>
      </c>
      <c r="N7" s="200" t="s">
        <v>1588</v>
      </c>
      <c r="O7" s="445">
        <v>3022741972</v>
      </c>
      <c r="P7" s="449"/>
      <c r="Q7" s="200" t="s">
        <v>1673</v>
      </c>
      <c r="R7" s="327" t="s">
        <v>321</v>
      </c>
      <c r="S7" s="328" t="s">
        <v>230</v>
      </c>
      <c r="T7" s="447"/>
      <c r="U7" s="224" t="s">
        <v>160</v>
      </c>
      <c r="V7" s="144" t="s">
        <v>210</v>
      </c>
    </row>
    <row r="8" spans="1:22">
      <c r="B8" s="139" t="s">
        <v>192</v>
      </c>
      <c r="C8" s="139"/>
      <c r="D8" s="138"/>
      <c r="E8" s="200">
        <v>60</v>
      </c>
      <c r="F8" s="200" t="s">
        <v>1574</v>
      </c>
      <c r="G8" s="200" t="s">
        <v>129</v>
      </c>
      <c r="H8" s="444" t="s">
        <v>1200</v>
      </c>
      <c r="I8" s="444" t="s">
        <v>1210</v>
      </c>
      <c r="J8" s="445">
        <v>72193080</v>
      </c>
      <c r="K8" s="200" t="s">
        <v>1187</v>
      </c>
      <c r="L8" s="191">
        <v>26611</v>
      </c>
      <c r="M8" s="238">
        <f t="shared" ca="1" si="0"/>
        <v>53</v>
      </c>
      <c r="N8" s="200" t="s">
        <v>1588</v>
      </c>
      <c r="O8" s="445">
        <v>3504565872</v>
      </c>
      <c r="P8" s="446"/>
      <c r="Q8" s="200" t="s">
        <v>1673</v>
      </c>
      <c r="R8" s="327" t="s">
        <v>164</v>
      </c>
      <c r="S8" s="328" t="s">
        <v>230</v>
      </c>
      <c r="T8" s="447"/>
      <c r="U8" s="224" t="s">
        <v>160</v>
      </c>
      <c r="V8" s="144" t="s">
        <v>210</v>
      </c>
    </row>
    <row r="9" spans="1:22">
      <c r="A9" s="144" t="s">
        <v>56</v>
      </c>
      <c r="B9" s="139" t="s">
        <v>876</v>
      </c>
      <c r="C9" s="139"/>
      <c r="D9" s="755" t="s">
        <v>2290</v>
      </c>
      <c r="E9" s="755">
        <v>60</v>
      </c>
      <c r="F9" s="755" t="s">
        <v>1574</v>
      </c>
      <c r="G9" s="755" t="s">
        <v>151</v>
      </c>
      <c r="H9" s="906" t="s">
        <v>1211</v>
      </c>
      <c r="I9" s="906" t="s">
        <v>1212</v>
      </c>
      <c r="J9" s="906">
        <v>6907687</v>
      </c>
      <c r="K9" s="755" t="s">
        <v>1187</v>
      </c>
      <c r="L9" s="765"/>
      <c r="M9" s="757"/>
      <c r="N9" s="755" t="s">
        <v>1588</v>
      </c>
      <c r="O9" s="906">
        <v>3024030545</v>
      </c>
      <c r="P9" s="909" t="s">
        <v>1213</v>
      </c>
      <c r="Q9" s="755" t="s">
        <v>1828</v>
      </c>
      <c r="R9" s="836" t="s">
        <v>1585</v>
      </c>
      <c r="S9" s="837" t="s">
        <v>1585</v>
      </c>
      <c r="T9" s="909"/>
      <c r="U9" s="760" t="s">
        <v>166</v>
      </c>
      <c r="V9" s="761" t="s">
        <v>210</v>
      </c>
    </row>
    <row r="10" spans="1:22">
      <c r="A10" s="144" t="s">
        <v>212</v>
      </c>
      <c r="B10" s="139" t="s">
        <v>891</v>
      </c>
      <c r="C10" s="139"/>
      <c r="D10" s="755"/>
      <c r="E10" s="755">
        <v>60</v>
      </c>
      <c r="F10" s="755" t="s">
        <v>1574</v>
      </c>
      <c r="G10" s="755" t="s">
        <v>151</v>
      </c>
      <c r="H10" s="906" t="s">
        <v>1211</v>
      </c>
      <c r="I10" s="906" t="s">
        <v>1214</v>
      </c>
      <c r="J10" s="906">
        <v>1053813906</v>
      </c>
      <c r="K10" s="755" t="s">
        <v>1191</v>
      </c>
      <c r="L10" s="765"/>
      <c r="M10" s="757"/>
      <c r="N10" s="755" t="s">
        <v>1588</v>
      </c>
      <c r="O10" s="906">
        <v>3508270496</v>
      </c>
      <c r="P10" s="909" t="s">
        <v>1215</v>
      </c>
      <c r="Q10" s="755" t="s">
        <v>1828</v>
      </c>
      <c r="R10" s="836" t="s">
        <v>1585</v>
      </c>
      <c r="S10" s="837" t="s">
        <v>1585</v>
      </c>
      <c r="T10" s="909"/>
      <c r="U10" s="760" t="s">
        <v>160</v>
      </c>
      <c r="V10" s="761" t="s">
        <v>210</v>
      </c>
    </row>
    <row r="11" spans="1:22">
      <c r="A11" s="144" t="s">
        <v>73</v>
      </c>
      <c r="B11" s="139" t="s">
        <v>1585</v>
      </c>
      <c r="C11" s="139"/>
      <c r="D11" s="138"/>
      <c r="E11" s="195">
        <v>60</v>
      </c>
      <c r="F11" s="195" t="s">
        <v>1574</v>
      </c>
      <c r="G11" s="195" t="s">
        <v>151</v>
      </c>
      <c r="H11" s="450" t="s">
        <v>1211</v>
      </c>
      <c r="I11" s="450" t="s">
        <v>1216</v>
      </c>
      <c r="J11" s="450">
        <v>10172857</v>
      </c>
      <c r="K11" s="195" t="s">
        <v>1187</v>
      </c>
      <c r="L11" s="177"/>
      <c r="M11" s="239"/>
      <c r="N11" s="195" t="s">
        <v>1588</v>
      </c>
      <c r="O11" s="450">
        <v>3217434563</v>
      </c>
      <c r="P11" s="451" t="s">
        <v>1215</v>
      </c>
      <c r="Q11" s="195" t="s">
        <v>1828</v>
      </c>
      <c r="R11" s="330" t="s">
        <v>1585</v>
      </c>
      <c r="S11" s="331" t="s">
        <v>1585</v>
      </c>
      <c r="T11" s="451"/>
      <c r="U11" s="221" t="s">
        <v>160</v>
      </c>
      <c r="V11" s="144" t="s">
        <v>210</v>
      </c>
    </row>
    <row r="12" spans="1:22">
      <c r="A12" s="144" t="s">
        <v>272</v>
      </c>
      <c r="D12" s="138"/>
      <c r="E12" s="195">
        <v>60</v>
      </c>
      <c r="F12" s="195" t="s">
        <v>1574</v>
      </c>
      <c r="G12" s="195" t="s">
        <v>151</v>
      </c>
      <c r="H12" s="450" t="s">
        <v>1211</v>
      </c>
      <c r="I12" s="450" t="s">
        <v>1217</v>
      </c>
      <c r="J12" s="450">
        <v>65749453</v>
      </c>
      <c r="K12" s="195" t="s">
        <v>1191</v>
      </c>
      <c r="L12" s="177"/>
      <c r="M12" s="239"/>
      <c r="N12" s="195" t="s">
        <v>1588</v>
      </c>
      <c r="O12" s="450">
        <v>3044164998</v>
      </c>
      <c r="P12" s="451" t="s">
        <v>1215</v>
      </c>
      <c r="Q12" s="195" t="s">
        <v>1828</v>
      </c>
      <c r="R12" s="330" t="s">
        <v>1585</v>
      </c>
      <c r="S12" s="331" t="s">
        <v>1585</v>
      </c>
      <c r="T12" s="451"/>
      <c r="U12" s="221" t="s">
        <v>160</v>
      </c>
      <c r="V12" s="144" t="s">
        <v>210</v>
      </c>
    </row>
    <row r="13" spans="1:22">
      <c r="A13" s="144" t="s">
        <v>114</v>
      </c>
      <c r="B13" s="319" t="s">
        <v>461</v>
      </c>
      <c r="C13" s="319"/>
      <c r="D13" s="138"/>
      <c r="E13" s="195">
        <v>60</v>
      </c>
      <c r="F13" s="195" t="s">
        <v>1574</v>
      </c>
      <c r="G13" s="195" t="s">
        <v>151</v>
      </c>
      <c r="H13" s="450" t="s">
        <v>1211</v>
      </c>
      <c r="I13" s="450" t="s">
        <v>1218</v>
      </c>
      <c r="J13" s="450">
        <v>1011515197</v>
      </c>
      <c r="K13" s="195" t="s">
        <v>1187</v>
      </c>
      <c r="L13" s="177"/>
      <c r="M13" s="239"/>
      <c r="N13" s="195" t="s">
        <v>1588</v>
      </c>
      <c r="O13" s="450">
        <v>3059348982</v>
      </c>
      <c r="P13" s="451" t="s">
        <v>1215</v>
      </c>
      <c r="Q13" s="195" t="s">
        <v>1828</v>
      </c>
      <c r="R13" s="330" t="s">
        <v>1585</v>
      </c>
      <c r="S13" s="331" t="s">
        <v>1585</v>
      </c>
      <c r="T13" s="451"/>
      <c r="U13" s="221" t="s">
        <v>160</v>
      </c>
      <c r="V13" s="144" t="s">
        <v>210</v>
      </c>
    </row>
    <row r="14" spans="1:22">
      <c r="A14" s="144" t="s">
        <v>1586</v>
      </c>
      <c r="B14" s="319" t="s">
        <v>663</v>
      </c>
      <c r="C14" s="319"/>
      <c r="D14" s="138"/>
      <c r="E14" s="195">
        <v>60</v>
      </c>
      <c r="F14" s="195" t="s">
        <v>1574</v>
      </c>
      <c r="G14" s="195" t="s">
        <v>151</v>
      </c>
      <c r="H14" s="450" t="s">
        <v>1211</v>
      </c>
      <c r="I14" s="450" t="s">
        <v>1219</v>
      </c>
      <c r="J14" s="450">
        <v>71729678</v>
      </c>
      <c r="K14" s="195" t="s">
        <v>1187</v>
      </c>
      <c r="L14" s="177"/>
      <c r="M14" s="239"/>
      <c r="N14" s="195" t="s">
        <v>1588</v>
      </c>
      <c r="O14" s="450">
        <v>3243287861</v>
      </c>
      <c r="P14" s="451" t="s">
        <v>1215</v>
      </c>
      <c r="Q14" s="195" t="s">
        <v>1828</v>
      </c>
      <c r="R14" s="330" t="s">
        <v>1585</v>
      </c>
      <c r="S14" s="331" t="s">
        <v>1585</v>
      </c>
      <c r="T14" s="451"/>
      <c r="U14" s="221" t="s">
        <v>160</v>
      </c>
      <c r="V14" s="144" t="s">
        <v>210</v>
      </c>
    </row>
    <row r="15" spans="1:22">
      <c r="A15" s="144" t="s">
        <v>227</v>
      </c>
      <c r="B15" s="319" t="s">
        <v>170</v>
      </c>
      <c r="C15" s="319"/>
      <c r="D15" s="138"/>
      <c r="E15" s="195">
        <v>60</v>
      </c>
      <c r="F15" s="195" t="s">
        <v>1574</v>
      </c>
      <c r="G15" s="195" t="s">
        <v>151</v>
      </c>
      <c r="H15" s="450" t="s">
        <v>1211</v>
      </c>
      <c r="I15" s="450" t="s">
        <v>1220</v>
      </c>
      <c r="J15" s="450">
        <v>43972649</v>
      </c>
      <c r="K15" s="195" t="s">
        <v>1191</v>
      </c>
      <c r="L15" s="177"/>
      <c r="M15" s="239"/>
      <c r="N15" s="195" t="s">
        <v>1588</v>
      </c>
      <c r="O15" s="450">
        <v>3158504732</v>
      </c>
      <c r="P15" s="451" t="s">
        <v>1221</v>
      </c>
      <c r="Q15" s="195" t="s">
        <v>1828</v>
      </c>
      <c r="R15" s="330" t="s">
        <v>1585</v>
      </c>
      <c r="S15" s="331" t="s">
        <v>1585</v>
      </c>
      <c r="T15" s="451"/>
      <c r="U15" s="221" t="s">
        <v>160</v>
      </c>
      <c r="V15" s="144" t="s">
        <v>210</v>
      </c>
    </row>
    <row r="16" spans="1:22">
      <c r="A16" s="144" t="s">
        <v>1587</v>
      </c>
      <c r="B16" s="319" t="s">
        <v>193</v>
      </c>
      <c r="C16" s="319"/>
      <c r="D16" s="755" t="s">
        <v>2290</v>
      </c>
      <c r="E16" s="755">
        <v>60</v>
      </c>
      <c r="F16" s="755" t="s">
        <v>1574</v>
      </c>
      <c r="G16" s="755" t="s">
        <v>151</v>
      </c>
      <c r="H16" s="910" t="s">
        <v>1222</v>
      </c>
      <c r="I16" s="910" t="s">
        <v>1227</v>
      </c>
      <c r="J16" s="910">
        <v>21398672</v>
      </c>
      <c r="K16" s="755" t="s">
        <v>1191</v>
      </c>
      <c r="L16" s="765"/>
      <c r="M16" s="757"/>
      <c r="N16" s="755" t="s">
        <v>1588</v>
      </c>
      <c r="O16" s="910">
        <v>3112054995</v>
      </c>
      <c r="P16" s="911"/>
      <c r="Q16" s="755" t="s">
        <v>1274</v>
      </c>
      <c r="R16" s="836" t="s">
        <v>1585</v>
      </c>
      <c r="S16" s="837" t="s">
        <v>1585</v>
      </c>
      <c r="T16" s="910"/>
      <c r="U16" s="760" t="s">
        <v>166</v>
      </c>
      <c r="V16" s="761" t="s">
        <v>210</v>
      </c>
    </row>
    <row r="17" spans="1:23">
      <c r="A17" s="144" t="s">
        <v>1588</v>
      </c>
      <c r="B17" s="319" t="s">
        <v>1881</v>
      </c>
      <c r="C17" s="319"/>
      <c r="D17" s="138"/>
      <c r="E17" s="196">
        <v>60</v>
      </c>
      <c r="F17" s="196" t="s">
        <v>1574</v>
      </c>
      <c r="G17" s="196" t="s">
        <v>151</v>
      </c>
      <c r="H17" s="452" t="s">
        <v>1222</v>
      </c>
      <c r="I17" s="452" t="s">
        <v>1223</v>
      </c>
      <c r="J17" s="452">
        <v>3524856</v>
      </c>
      <c r="K17" s="196" t="s">
        <v>1187</v>
      </c>
      <c r="L17" s="178"/>
      <c r="M17" s="283"/>
      <c r="N17" s="196" t="s">
        <v>1588</v>
      </c>
      <c r="O17" s="452">
        <v>3104935164</v>
      </c>
      <c r="P17" s="196"/>
      <c r="Q17" s="196" t="s">
        <v>1274</v>
      </c>
      <c r="R17" s="334" t="s">
        <v>1585</v>
      </c>
      <c r="S17" s="335" t="s">
        <v>1585</v>
      </c>
      <c r="T17" s="452"/>
      <c r="U17" s="222" t="s">
        <v>160</v>
      </c>
      <c r="V17" s="144" t="s">
        <v>210</v>
      </c>
    </row>
    <row r="18" spans="1:23">
      <c r="B18" s="319" t="s">
        <v>1882</v>
      </c>
      <c r="C18" s="319"/>
      <c r="D18" s="138"/>
      <c r="E18" s="196">
        <v>60</v>
      </c>
      <c r="F18" s="196" t="s">
        <v>1574</v>
      </c>
      <c r="G18" s="196" t="s">
        <v>151</v>
      </c>
      <c r="H18" s="452" t="s">
        <v>1222</v>
      </c>
      <c r="I18" s="452" t="s">
        <v>1224</v>
      </c>
      <c r="J18" s="452">
        <v>1128467326</v>
      </c>
      <c r="K18" s="196" t="s">
        <v>1191</v>
      </c>
      <c r="L18" s="178"/>
      <c r="M18" s="283"/>
      <c r="N18" s="196" t="s">
        <v>1588</v>
      </c>
      <c r="O18" s="452">
        <v>3004689680</v>
      </c>
      <c r="P18" s="196"/>
      <c r="Q18" s="196" t="s">
        <v>1274</v>
      </c>
      <c r="R18" s="334" t="s">
        <v>1585</v>
      </c>
      <c r="S18" s="335" t="s">
        <v>1585</v>
      </c>
      <c r="T18" s="452"/>
      <c r="U18" s="222" t="s">
        <v>160</v>
      </c>
      <c r="V18" s="144" t="s">
        <v>210</v>
      </c>
    </row>
    <row r="19" spans="1:23">
      <c r="A19" s="144" t="s">
        <v>160</v>
      </c>
      <c r="B19" s="319" t="s">
        <v>405</v>
      </c>
      <c r="C19" s="319"/>
      <c r="D19" s="138"/>
      <c r="E19" s="196">
        <v>60</v>
      </c>
      <c r="F19" s="196" t="s">
        <v>1574</v>
      </c>
      <c r="G19" s="196" t="s">
        <v>151</v>
      </c>
      <c r="H19" s="452" t="s">
        <v>1222</v>
      </c>
      <c r="I19" s="452" t="s">
        <v>1225</v>
      </c>
      <c r="J19" s="452">
        <v>1017146771</v>
      </c>
      <c r="K19" s="196" t="s">
        <v>1191</v>
      </c>
      <c r="L19" s="178"/>
      <c r="M19" s="283"/>
      <c r="N19" s="196" t="s">
        <v>1588</v>
      </c>
      <c r="O19" s="452">
        <v>3244419846</v>
      </c>
      <c r="P19" s="196"/>
      <c r="Q19" s="196" t="s">
        <v>1274</v>
      </c>
      <c r="R19" s="334" t="s">
        <v>1585</v>
      </c>
      <c r="S19" s="335" t="s">
        <v>1585</v>
      </c>
      <c r="T19" s="452"/>
      <c r="U19" s="222" t="s">
        <v>160</v>
      </c>
      <c r="V19" s="144" t="s">
        <v>210</v>
      </c>
    </row>
    <row r="20" spans="1:23">
      <c r="A20" s="144" t="s">
        <v>166</v>
      </c>
      <c r="B20" s="319" t="s">
        <v>1883</v>
      </c>
      <c r="C20" s="319"/>
      <c r="D20" s="138"/>
      <c r="E20" s="196">
        <v>60</v>
      </c>
      <c r="F20" s="196" t="s">
        <v>1574</v>
      </c>
      <c r="G20" s="196" t="s">
        <v>151</v>
      </c>
      <c r="H20" s="452" t="s">
        <v>1222</v>
      </c>
      <c r="I20" s="452" t="s">
        <v>1226</v>
      </c>
      <c r="J20" s="452">
        <v>112846814</v>
      </c>
      <c r="K20" s="196" t="s">
        <v>1191</v>
      </c>
      <c r="L20" s="178"/>
      <c r="M20" s="283"/>
      <c r="N20" s="196" t="s">
        <v>1588</v>
      </c>
      <c r="O20" s="452">
        <v>3128723570</v>
      </c>
      <c r="P20" s="196"/>
      <c r="Q20" s="196" t="s">
        <v>1274</v>
      </c>
      <c r="R20" s="334" t="s">
        <v>1585</v>
      </c>
      <c r="S20" s="335" t="s">
        <v>1585</v>
      </c>
      <c r="T20" s="452"/>
      <c r="U20" s="222" t="s">
        <v>160</v>
      </c>
      <c r="V20" s="144" t="s">
        <v>210</v>
      </c>
      <c r="W20" s="173"/>
    </row>
    <row r="21" spans="1:23">
      <c r="B21" s="319" t="s">
        <v>230</v>
      </c>
      <c r="C21" s="319"/>
      <c r="D21" s="138"/>
      <c r="E21" s="137">
        <v>60</v>
      </c>
      <c r="F21" s="137" t="s">
        <v>1574</v>
      </c>
      <c r="G21" s="137" t="s">
        <v>151</v>
      </c>
      <c r="H21" s="453" t="s">
        <v>1228</v>
      </c>
      <c r="I21" s="453" t="s">
        <v>1233</v>
      </c>
      <c r="J21" s="454">
        <v>43797012</v>
      </c>
      <c r="K21" s="137" t="s">
        <v>1191</v>
      </c>
      <c r="L21" s="179"/>
      <c r="M21" s="286"/>
      <c r="N21" s="137" t="s">
        <v>1588</v>
      </c>
      <c r="O21" s="454">
        <v>3117123329</v>
      </c>
      <c r="P21" s="453"/>
      <c r="Q21" s="137" t="s">
        <v>1673</v>
      </c>
      <c r="R21" s="338" t="s">
        <v>1585</v>
      </c>
      <c r="S21" s="339" t="s">
        <v>1585</v>
      </c>
      <c r="T21" s="453"/>
      <c r="U21" s="223" t="s">
        <v>166</v>
      </c>
      <c r="V21" s="144" t="s">
        <v>188</v>
      </c>
      <c r="W21" s="197"/>
    </row>
    <row r="22" spans="1:23">
      <c r="A22" s="144" t="s">
        <v>1824</v>
      </c>
      <c r="B22" s="319" t="s">
        <v>1884</v>
      </c>
      <c r="C22" s="319"/>
      <c r="D22" s="138"/>
      <c r="E22" s="137">
        <v>60</v>
      </c>
      <c r="F22" s="137" t="s">
        <v>1574</v>
      </c>
      <c r="G22" s="137" t="s">
        <v>151</v>
      </c>
      <c r="H22" s="455" t="s">
        <v>1228</v>
      </c>
      <c r="I22" s="455" t="s">
        <v>1229</v>
      </c>
      <c r="J22" s="456">
        <v>1066722927</v>
      </c>
      <c r="K22" s="137" t="s">
        <v>1191</v>
      </c>
      <c r="L22" s="179"/>
      <c r="M22" s="286"/>
      <c r="N22" s="137" t="s">
        <v>1588</v>
      </c>
      <c r="O22" s="456">
        <v>3016558352</v>
      </c>
      <c r="P22" s="457" t="s">
        <v>1931</v>
      </c>
      <c r="Q22" s="137" t="s">
        <v>1673</v>
      </c>
      <c r="R22" s="338" t="s">
        <v>1585</v>
      </c>
      <c r="S22" s="339" t="s">
        <v>1585</v>
      </c>
      <c r="T22" s="455"/>
      <c r="U22" s="223" t="s">
        <v>160</v>
      </c>
      <c r="V22" s="144" t="s">
        <v>188</v>
      </c>
    </row>
    <row r="23" spans="1:23">
      <c r="A23" s="144" t="s">
        <v>1825</v>
      </c>
      <c r="B23" s="319" t="s">
        <v>1885</v>
      </c>
      <c r="C23" s="319"/>
      <c r="D23" s="138"/>
      <c r="E23" s="137">
        <v>60</v>
      </c>
      <c r="F23" s="137" t="s">
        <v>1574</v>
      </c>
      <c r="G23" s="137" t="s">
        <v>151</v>
      </c>
      <c r="H23" s="455" t="s">
        <v>1228</v>
      </c>
      <c r="I23" s="455" t="s">
        <v>1230</v>
      </c>
      <c r="J23" s="456">
        <v>32526145</v>
      </c>
      <c r="K23" s="137" t="s">
        <v>1191</v>
      </c>
      <c r="L23" s="179"/>
      <c r="M23" s="286"/>
      <c r="N23" s="137" t="s">
        <v>1588</v>
      </c>
      <c r="O23" s="456">
        <v>3127772266</v>
      </c>
      <c r="P23" s="455"/>
      <c r="Q23" s="137" t="s">
        <v>1673</v>
      </c>
      <c r="R23" s="338" t="s">
        <v>1585</v>
      </c>
      <c r="S23" s="339" t="s">
        <v>1585</v>
      </c>
      <c r="T23" s="455"/>
      <c r="U23" s="223" t="s">
        <v>160</v>
      </c>
      <c r="V23" s="144" t="s">
        <v>188</v>
      </c>
    </row>
    <row r="24" spans="1:23">
      <c r="A24" s="144" t="s">
        <v>1826</v>
      </c>
      <c r="B24" s="319" t="s">
        <v>1886</v>
      </c>
      <c r="C24" s="319"/>
      <c r="D24" s="138"/>
      <c r="E24" s="137">
        <v>60</v>
      </c>
      <c r="F24" s="137" t="s">
        <v>1574</v>
      </c>
      <c r="G24" s="137" t="s">
        <v>151</v>
      </c>
      <c r="H24" s="455" t="s">
        <v>1228</v>
      </c>
      <c r="I24" s="455" t="s">
        <v>1231</v>
      </c>
      <c r="J24" s="456">
        <v>43552300</v>
      </c>
      <c r="K24" s="137" t="s">
        <v>1191</v>
      </c>
      <c r="L24" s="179"/>
      <c r="M24" s="286"/>
      <c r="N24" s="137" t="s">
        <v>1588</v>
      </c>
      <c r="O24" s="456">
        <v>3128313127</v>
      </c>
      <c r="P24" s="457" t="s">
        <v>1932</v>
      </c>
      <c r="Q24" s="137" t="s">
        <v>1673</v>
      </c>
      <c r="R24" s="338" t="s">
        <v>1585</v>
      </c>
      <c r="S24" s="339" t="s">
        <v>1585</v>
      </c>
      <c r="T24" s="455"/>
      <c r="U24" s="223" t="s">
        <v>160</v>
      </c>
      <c r="V24" s="144" t="s">
        <v>188</v>
      </c>
    </row>
    <row r="25" spans="1:23">
      <c r="A25" s="144" t="s">
        <v>1836</v>
      </c>
      <c r="B25" s="319" t="s">
        <v>1887</v>
      </c>
      <c r="C25" s="319"/>
      <c r="D25" s="138"/>
      <c r="E25" s="137">
        <v>60</v>
      </c>
      <c r="F25" s="137" t="s">
        <v>1574</v>
      </c>
      <c r="G25" s="137" t="s">
        <v>151</v>
      </c>
      <c r="H25" s="455" t="s">
        <v>1228</v>
      </c>
      <c r="I25" s="455" t="s">
        <v>1232</v>
      </c>
      <c r="J25" s="456">
        <v>1025893469</v>
      </c>
      <c r="K25" s="137" t="s">
        <v>1191</v>
      </c>
      <c r="L25" s="179"/>
      <c r="M25" s="286"/>
      <c r="N25" s="137" t="s">
        <v>1588</v>
      </c>
      <c r="O25" s="456">
        <v>3052239633</v>
      </c>
      <c r="P25" s="457" t="s">
        <v>1933</v>
      </c>
      <c r="Q25" s="137" t="s">
        <v>1673</v>
      </c>
      <c r="R25" s="338" t="s">
        <v>1585</v>
      </c>
      <c r="S25" s="339" t="s">
        <v>1585</v>
      </c>
      <c r="T25" s="455"/>
      <c r="U25" s="223" t="s">
        <v>160</v>
      </c>
      <c r="V25" s="144" t="s">
        <v>188</v>
      </c>
    </row>
    <row r="26" spans="1:23">
      <c r="A26" s="144" t="s">
        <v>1827</v>
      </c>
      <c r="B26" s="319" t="s">
        <v>1888</v>
      </c>
      <c r="C26" s="319"/>
      <c r="D26" s="138"/>
      <c r="E26" s="137">
        <v>60</v>
      </c>
      <c r="F26" s="137" t="s">
        <v>1574</v>
      </c>
      <c r="G26" s="137" t="s">
        <v>151</v>
      </c>
      <c r="H26" s="455" t="s">
        <v>1228</v>
      </c>
      <c r="I26" s="455" t="s">
        <v>1234</v>
      </c>
      <c r="J26" s="456">
        <v>1061626532</v>
      </c>
      <c r="K26" s="137" t="s">
        <v>1191</v>
      </c>
      <c r="L26" s="179"/>
      <c r="M26" s="286"/>
      <c r="N26" s="137" t="s">
        <v>1588</v>
      </c>
      <c r="O26" s="456">
        <v>3103787302</v>
      </c>
      <c r="P26" s="455"/>
      <c r="Q26" s="137" t="s">
        <v>1673</v>
      </c>
      <c r="R26" s="338" t="s">
        <v>1585</v>
      </c>
      <c r="S26" s="339" t="s">
        <v>1585</v>
      </c>
      <c r="T26" s="455"/>
      <c r="U26" s="223" t="s">
        <v>160</v>
      </c>
      <c r="V26" s="144" t="s">
        <v>188</v>
      </c>
    </row>
    <row r="27" spans="1:23">
      <c r="A27" s="144" t="s">
        <v>1828</v>
      </c>
      <c r="B27" s="319" t="s">
        <v>1889</v>
      </c>
      <c r="C27" s="319"/>
      <c r="D27" s="138"/>
      <c r="E27" s="137">
        <v>60</v>
      </c>
      <c r="F27" s="137" t="s">
        <v>1574</v>
      </c>
      <c r="G27" s="137" t="s">
        <v>151</v>
      </c>
      <c r="H27" s="455" t="s">
        <v>1228</v>
      </c>
      <c r="I27" s="455" t="s">
        <v>1235</v>
      </c>
      <c r="J27" s="456">
        <v>42973740</v>
      </c>
      <c r="K27" s="137" t="s">
        <v>1191</v>
      </c>
      <c r="L27" s="179"/>
      <c r="M27" s="286"/>
      <c r="N27" s="137" t="s">
        <v>1588</v>
      </c>
      <c r="O27" s="456">
        <v>3004035491</v>
      </c>
      <c r="P27" s="457" t="s">
        <v>1934</v>
      </c>
      <c r="Q27" s="137" t="s">
        <v>1673</v>
      </c>
      <c r="R27" s="338" t="s">
        <v>1585</v>
      </c>
      <c r="S27" s="339" t="s">
        <v>1585</v>
      </c>
      <c r="T27" s="455"/>
      <c r="U27" s="223" t="s">
        <v>160</v>
      </c>
      <c r="V27" s="144" t="s">
        <v>188</v>
      </c>
    </row>
    <row r="28" spans="1:23">
      <c r="A28" s="144" t="s">
        <v>1673</v>
      </c>
      <c r="B28" s="319" t="s">
        <v>1890</v>
      </c>
      <c r="C28" s="319"/>
      <c r="D28" s="138"/>
      <c r="E28" s="200">
        <v>60</v>
      </c>
      <c r="F28" s="200" t="s">
        <v>1574</v>
      </c>
      <c r="G28" s="200" t="s">
        <v>151</v>
      </c>
      <c r="H28" s="458" t="s">
        <v>1236</v>
      </c>
      <c r="I28" s="458" t="s">
        <v>1239</v>
      </c>
      <c r="J28" s="458">
        <v>50859220</v>
      </c>
      <c r="K28" s="200" t="s">
        <v>1191</v>
      </c>
      <c r="L28" s="191"/>
      <c r="M28" s="238"/>
      <c r="N28" s="200" t="s">
        <v>1588</v>
      </c>
      <c r="O28" s="458">
        <v>3147555915</v>
      </c>
      <c r="P28" s="458" t="s">
        <v>1240</v>
      </c>
      <c r="Q28" s="200" t="s">
        <v>1828</v>
      </c>
      <c r="R28" s="327" t="s">
        <v>1585</v>
      </c>
      <c r="S28" s="328" t="s">
        <v>1585</v>
      </c>
      <c r="T28" s="458"/>
      <c r="U28" s="224" t="s">
        <v>166</v>
      </c>
      <c r="V28" s="144" t="s">
        <v>188</v>
      </c>
    </row>
    <row r="29" spans="1:23">
      <c r="A29" s="144" t="s">
        <v>1829</v>
      </c>
      <c r="B29" s="319" t="s">
        <v>1891</v>
      </c>
      <c r="C29" s="319"/>
      <c r="D29" s="138"/>
      <c r="E29" s="200">
        <v>60</v>
      </c>
      <c r="F29" s="200" t="s">
        <v>1574</v>
      </c>
      <c r="G29" s="200" t="s">
        <v>151</v>
      </c>
      <c r="H29" s="459" t="s">
        <v>1236</v>
      </c>
      <c r="I29" s="459" t="s">
        <v>1237</v>
      </c>
      <c r="J29" s="459">
        <v>15520827</v>
      </c>
      <c r="K29" s="200" t="s">
        <v>1187</v>
      </c>
      <c r="L29" s="191"/>
      <c r="M29" s="238"/>
      <c r="N29" s="200" t="s">
        <v>1588</v>
      </c>
      <c r="O29" s="459">
        <v>3226627677</v>
      </c>
      <c r="P29" s="459"/>
      <c r="Q29" s="200" t="s">
        <v>1828</v>
      </c>
      <c r="R29" s="327" t="s">
        <v>1585</v>
      </c>
      <c r="S29" s="328" t="s">
        <v>1585</v>
      </c>
      <c r="T29" s="459"/>
      <c r="U29" s="224" t="s">
        <v>160</v>
      </c>
      <c r="V29" s="144" t="s">
        <v>188</v>
      </c>
    </row>
    <row r="30" spans="1:23">
      <c r="A30" s="144" t="s">
        <v>1830</v>
      </c>
      <c r="B30" s="319" t="s">
        <v>1892</v>
      </c>
      <c r="C30" s="319"/>
      <c r="D30" s="138"/>
      <c r="E30" s="200">
        <v>60</v>
      </c>
      <c r="F30" s="200" t="s">
        <v>1574</v>
      </c>
      <c r="G30" s="200" t="s">
        <v>151</v>
      </c>
      <c r="H30" s="459" t="s">
        <v>1236</v>
      </c>
      <c r="I30" s="459" t="s">
        <v>1238</v>
      </c>
      <c r="J30" s="459">
        <v>43628768</v>
      </c>
      <c r="K30" s="200" t="s">
        <v>1191</v>
      </c>
      <c r="L30" s="191"/>
      <c r="M30" s="238"/>
      <c r="N30" s="200" t="s">
        <v>1588</v>
      </c>
      <c r="O30" s="459">
        <v>3024194761</v>
      </c>
      <c r="P30" s="459"/>
      <c r="Q30" s="200" t="s">
        <v>1828</v>
      </c>
      <c r="R30" s="327" t="s">
        <v>1585</v>
      </c>
      <c r="S30" s="328" t="s">
        <v>1585</v>
      </c>
      <c r="T30" s="459"/>
      <c r="U30" s="224" t="s">
        <v>160</v>
      </c>
      <c r="V30" s="144" t="s">
        <v>188</v>
      </c>
    </row>
    <row r="31" spans="1:23">
      <c r="A31" s="144" t="s">
        <v>1831</v>
      </c>
      <c r="B31" s="319" t="s">
        <v>1893</v>
      </c>
      <c r="C31" s="319"/>
      <c r="D31" s="138"/>
      <c r="E31" s="200">
        <v>60</v>
      </c>
      <c r="F31" s="200" t="s">
        <v>1574</v>
      </c>
      <c r="G31" s="200" t="s">
        <v>151</v>
      </c>
      <c r="H31" s="459" t="s">
        <v>1236</v>
      </c>
      <c r="I31" s="459" t="s">
        <v>1241</v>
      </c>
      <c r="J31" s="459">
        <v>58503261</v>
      </c>
      <c r="K31" s="200" t="s">
        <v>1187</v>
      </c>
      <c r="L31" s="191"/>
      <c r="M31" s="238"/>
      <c r="N31" s="200" t="s">
        <v>1588</v>
      </c>
      <c r="O31" s="459">
        <v>3226078974</v>
      </c>
      <c r="P31" s="459" t="s">
        <v>1242</v>
      </c>
      <c r="Q31" s="200" t="s">
        <v>1828</v>
      </c>
      <c r="R31" s="327" t="s">
        <v>1585</v>
      </c>
      <c r="S31" s="328" t="s">
        <v>1585</v>
      </c>
      <c r="T31" s="459"/>
      <c r="U31" s="224" t="s">
        <v>160</v>
      </c>
      <c r="V31" s="144" t="s">
        <v>188</v>
      </c>
    </row>
    <row r="32" spans="1:23">
      <c r="A32" s="144" t="s">
        <v>1516</v>
      </c>
      <c r="B32" s="319" t="s">
        <v>1894</v>
      </c>
      <c r="C32" s="319"/>
      <c r="D32" s="406"/>
      <c r="E32" s="201">
        <v>60</v>
      </c>
      <c r="F32" s="200" t="s">
        <v>1574</v>
      </c>
      <c r="G32" s="201" t="s">
        <v>151</v>
      </c>
      <c r="H32" s="460" t="s">
        <v>1236</v>
      </c>
      <c r="I32" s="460" t="s">
        <v>1243</v>
      </c>
      <c r="J32" s="460">
        <v>8303660</v>
      </c>
      <c r="K32" s="201" t="s">
        <v>1187</v>
      </c>
      <c r="L32" s="461"/>
      <c r="M32" s="462"/>
      <c r="N32" s="201" t="s">
        <v>1588</v>
      </c>
      <c r="O32" s="460">
        <v>3146904754</v>
      </c>
      <c r="P32" s="460"/>
      <c r="Q32" s="201" t="s">
        <v>1828</v>
      </c>
      <c r="R32" s="463" t="s">
        <v>1585</v>
      </c>
      <c r="S32" s="464" t="s">
        <v>1585</v>
      </c>
      <c r="T32" s="460"/>
      <c r="U32" s="225" t="s">
        <v>160</v>
      </c>
      <c r="V32" s="144" t="s">
        <v>188</v>
      </c>
    </row>
    <row r="33" spans="1:3">
      <c r="A33" s="144" t="s">
        <v>1729</v>
      </c>
      <c r="B33" s="319" t="s">
        <v>1895</v>
      </c>
      <c r="C33" s="319"/>
    </row>
    <row r="34" spans="1:3">
      <c r="A34" s="144" t="s">
        <v>1832</v>
      </c>
      <c r="B34" s="319" t="s">
        <v>1896</v>
      </c>
      <c r="C34" s="319"/>
    </row>
    <row r="35" spans="1:3">
      <c r="A35" s="144" t="s">
        <v>1833</v>
      </c>
      <c r="B35" s="199" t="s">
        <v>1899</v>
      </c>
      <c r="C35" s="199"/>
    </row>
    <row r="36" spans="1:3">
      <c r="A36" s="144" t="s">
        <v>1811</v>
      </c>
      <c r="B36" s="199" t="s">
        <v>1900</v>
      </c>
      <c r="C36" s="199"/>
    </row>
    <row r="37" spans="1:3">
      <c r="A37" s="144" t="s">
        <v>1291</v>
      </c>
      <c r="B37" s="139" t="s">
        <v>1898</v>
      </c>
      <c r="C37" s="139"/>
    </row>
    <row r="38" spans="1:3">
      <c r="A38" s="144" t="s">
        <v>1834</v>
      </c>
      <c r="B38" s="144" t="s">
        <v>218</v>
      </c>
    </row>
    <row r="39" spans="1:3">
      <c r="A39" s="144" t="s">
        <v>1274</v>
      </c>
      <c r="B39" s="144" t="s">
        <v>1585</v>
      </c>
    </row>
    <row r="40" spans="1:3">
      <c r="A40" s="144" t="s">
        <v>1835</v>
      </c>
    </row>
    <row r="44" spans="1:3">
      <c r="B44" s="320"/>
      <c r="C44" s="320"/>
    </row>
  </sheetData>
  <phoneticPr fontId="41" type="noConversion"/>
  <dataValidations count="7">
    <dataValidation type="list" allowBlank="1" showInputMessage="1" showErrorMessage="1" sqref="G3:G32" xr:uid="{20314014-187A-426F-A504-3B31A5D461CE}">
      <formula1>$A$1:$A$3</formula1>
    </dataValidation>
    <dataValidation type="list" allowBlank="1" showInputMessage="1" showErrorMessage="1" sqref="K3:K32" xr:uid="{7E6B5635-B37B-4399-91CE-28337CC22E16}">
      <formula1>$A$4:$A$7</formula1>
    </dataValidation>
    <dataValidation type="list" allowBlank="1" showInputMessage="1" showErrorMessage="1" sqref="N3:N32" xr:uid="{F5E336FF-23D6-4622-85CF-B3C3D5F7F2D6}">
      <formula1>$A$8:$A$17</formula1>
    </dataValidation>
    <dataValidation type="list" allowBlank="1" showInputMessage="1" showErrorMessage="1" sqref="U3:U32" xr:uid="{659CADB4-1963-40EF-A0DD-1A05D8956A32}">
      <formula1>$A$18:$A$20</formula1>
    </dataValidation>
    <dataValidation type="list" allowBlank="1" showInputMessage="1" showErrorMessage="1" sqref="Q3:Q32" xr:uid="{561B0021-A1B1-4757-98B4-761E349282DB}">
      <formula1>$A$21:$A$40</formula1>
    </dataValidation>
    <dataValidation type="list" allowBlank="1" showInputMessage="1" showErrorMessage="1" sqref="R3:R32" xr:uid="{AD8AC794-EE84-472F-81CE-A7D25CD7B418}">
      <formula1>$B$5:$B$11</formula1>
    </dataValidation>
    <dataValidation type="list" allowBlank="1" showInputMessage="1" showErrorMessage="1" sqref="S3:S32" xr:uid="{6F70727A-5F27-4AEE-B8EC-70BFB920FDA7}">
      <formula1>$B$13:$B$39</formula1>
    </dataValidation>
  </dataValidations>
  <hyperlinks>
    <hyperlink ref="P22" r:id="rId1" xr:uid="{00000000-0004-0000-1000-000000000000}"/>
    <hyperlink ref="P24" r:id="rId2" xr:uid="{00000000-0004-0000-1000-000001000000}"/>
    <hyperlink ref="P25" r:id="rId3" xr:uid="{00000000-0004-0000-1000-000002000000}"/>
    <hyperlink ref="P27" r:id="rId4" xr:uid="{00000000-0004-0000-1000-000003000000}"/>
  </hyperlinks>
  <pageMargins left="0.7" right="0.7" top="0.75" bottom="0.75" header="0.3" footer="0.3"/>
  <tableParts count="1"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0FF4-504C-4AA7-B197-88EAC7D44AC5}">
  <dimension ref="A2:V44"/>
  <sheetViews>
    <sheetView topLeftCell="I1" zoomScale="80" zoomScaleNormal="62" workbookViewId="0">
      <selection activeCell="E3" sqref="E3:V13"/>
    </sheetView>
  </sheetViews>
  <sheetFormatPr baseColWidth="10" defaultColWidth="11.5546875" defaultRowHeight="14.4"/>
  <cols>
    <col min="1" max="1" width="22.6640625" style="132" bestFit="1" customWidth="1"/>
    <col min="2" max="3" width="22.6640625" style="132" customWidth="1"/>
    <col min="4" max="4" width="5.6640625" style="132" customWidth="1"/>
    <col min="5" max="5" width="11.5546875" style="132"/>
    <col min="6" max="6" width="26.6640625" style="132" bestFit="1" customWidth="1"/>
    <col min="7" max="7" width="18.6640625" style="132" customWidth="1"/>
    <col min="8" max="8" width="16.44140625" style="132" customWidth="1"/>
    <col min="9" max="9" width="31.5546875" style="132" bestFit="1" customWidth="1"/>
    <col min="10" max="10" width="13.33203125" style="132" bestFit="1" customWidth="1"/>
    <col min="11" max="11" width="11.5546875" style="132"/>
    <col min="12" max="12" width="21" style="132" customWidth="1"/>
    <col min="13" max="13" width="11.6640625" style="132" bestFit="1" customWidth="1"/>
    <col min="14" max="14" width="15.6640625" style="132" customWidth="1"/>
    <col min="15" max="15" width="13.33203125" style="132" bestFit="1" customWidth="1"/>
    <col min="16" max="16" width="18.44140625" style="132" customWidth="1"/>
    <col min="17" max="17" width="31.6640625" style="132" customWidth="1"/>
    <col min="18" max="18" width="11.6640625" style="132" customWidth="1"/>
    <col min="19" max="19" width="11.5546875" style="132"/>
    <col min="20" max="20" width="26" style="132" customWidth="1"/>
    <col min="21" max="21" width="25.6640625" style="132" customWidth="1"/>
    <col min="22" max="16384" width="11.5546875" style="132"/>
  </cols>
  <sheetData>
    <row r="2" spans="1:22">
      <c r="A2" s="144" t="s">
        <v>151</v>
      </c>
      <c r="B2" s="144"/>
      <c r="C2" s="144"/>
      <c r="D2" s="153" t="s">
        <v>417</v>
      </c>
      <c r="E2" s="153" t="s">
        <v>2288</v>
      </c>
      <c r="F2" s="138" t="s">
        <v>1854</v>
      </c>
      <c r="G2" s="138" t="s">
        <v>1584</v>
      </c>
      <c r="H2" s="138" t="s">
        <v>418</v>
      </c>
      <c r="I2" s="138" t="s">
        <v>1410</v>
      </c>
      <c r="J2" s="138" t="s">
        <v>5</v>
      </c>
      <c r="K2" s="138" t="s">
        <v>6</v>
      </c>
      <c r="L2" s="138" t="s">
        <v>7</v>
      </c>
      <c r="M2" s="138" t="s">
        <v>8</v>
      </c>
      <c r="N2" s="138" t="s">
        <v>9</v>
      </c>
      <c r="O2" s="138" t="s">
        <v>1589</v>
      </c>
      <c r="P2" s="138" t="s">
        <v>11</v>
      </c>
      <c r="Q2" s="138" t="s">
        <v>12</v>
      </c>
      <c r="R2" s="138" t="s">
        <v>14</v>
      </c>
      <c r="S2" s="138" t="s">
        <v>16</v>
      </c>
      <c r="T2" s="138" t="s">
        <v>1590</v>
      </c>
      <c r="U2" s="151" t="s">
        <v>18</v>
      </c>
      <c r="V2" s="553" t="s">
        <v>20</v>
      </c>
    </row>
    <row r="3" spans="1:22">
      <c r="A3" s="144" t="s">
        <v>129</v>
      </c>
      <c r="B3" s="144"/>
      <c r="C3" s="144"/>
      <c r="D3" s="824" t="s">
        <v>2289</v>
      </c>
      <c r="E3" s="763">
        <v>70</v>
      </c>
      <c r="F3" s="763" t="s">
        <v>1575</v>
      </c>
      <c r="G3" s="763" t="s">
        <v>129</v>
      </c>
      <c r="H3" s="775" t="s">
        <v>1244</v>
      </c>
      <c r="I3" s="770" t="s">
        <v>1245</v>
      </c>
      <c r="J3" s="51">
        <v>98579433</v>
      </c>
      <c r="K3" s="763" t="s">
        <v>1187</v>
      </c>
      <c r="L3" s="765">
        <v>25656</v>
      </c>
      <c r="M3" s="766">
        <f ca="1">DATEDIF(L3,TODAY(),"Y")</f>
        <v>56</v>
      </c>
      <c r="N3" s="763" t="s">
        <v>56</v>
      </c>
      <c r="O3" s="913">
        <v>3003702460</v>
      </c>
      <c r="P3" s="914"/>
      <c r="Q3" s="763" t="s">
        <v>1246</v>
      </c>
      <c r="R3" s="821" t="s">
        <v>333</v>
      </c>
      <c r="S3" s="822" t="s">
        <v>663</v>
      </c>
      <c r="T3" s="770"/>
      <c r="U3" s="768" t="s">
        <v>166</v>
      </c>
      <c r="V3" s="761" t="s">
        <v>210</v>
      </c>
    </row>
    <row r="4" spans="1:22">
      <c r="D4" s="467"/>
      <c r="E4" s="438">
        <v>70</v>
      </c>
      <c r="F4" s="438" t="s">
        <v>1575</v>
      </c>
      <c r="G4" s="438" t="s">
        <v>129</v>
      </c>
      <c r="H4" s="465" t="s">
        <v>1244</v>
      </c>
      <c r="I4" s="465" t="s">
        <v>1247</v>
      </c>
      <c r="J4" s="404">
        <v>43590473</v>
      </c>
      <c r="K4" s="438" t="s">
        <v>1191</v>
      </c>
      <c r="L4" s="191">
        <v>27393</v>
      </c>
      <c r="M4" s="439">
        <f ca="1">DATEDIF(L4,TODAY(),"Y")</f>
        <v>51</v>
      </c>
      <c r="N4" s="438" t="s">
        <v>56</v>
      </c>
      <c r="O4" s="472">
        <v>3114281549</v>
      </c>
      <c r="P4" s="473" t="s">
        <v>1248</v>
      </c>
      <c r="Q4" s="438" t="s">
        <v>1246</v>
      </c>
      <c r="R4" s="234" t="s">
        <v>333</v>
      </c>
      <c r="S4" s="235" t="s">
        <v>663</v>
      </c>
      <c r="T4" s="465">
        <v>2021</v>
      </c>
      <c r="U4" s="468" t="s">
        <v>160</v>
      </c>
      <c r="V4" s="144" t="s">
        <v>210</v>
      </c>
    </row>
    <row r="5" spans="1:22">
      <c r="A5" s="144" t="s">
        <v>1191</v>
      </c>
      <c r="B5" s="132" t="s">
        <v>333</v>
      </c>
      <c r="D5" s="467"/>
      <c r="E5" s="438">
        <v>70</v>
      </c>
      <c r="F5" s="438" t="s">
        <v>1575</v>
      </c>
      <c r="G5" s="438" t="s">
        <v>129</v>
      </c>
      <c r="H5" s="465" t="s">
        <v>1244</v>
      </c>
      <c r="I5" s="465" t="s">
        <v>1249</v>
      </c>
      <c r="J5" s="404">
        <v>71615264</v>
      </c>
      <c r="K5" s="438" t="s">
        <v>1187</v>
      </c>
      <c r="L5" s="191">
        <v>22783</v>
      </c>
      <c r="M5" s="439">
        <f t="shared" ref="M5:M25" ca="1" si="0">DATEDIF(L5,TODAY(),"Y")</f>
        <v>64</v>
      </c>
      <c r="N5" s="438" t="s">
        <v>73</v>
      </c>
      <c r="O5" s="472">
        <v>3105347941</v>
      </c>
      <c r="P5" s="474" t="s">
        <v>1250</v>
      </c>
      <c r="Q5" s="438" t="s">
        <v>1246</v>
      </c>
      <c r="R5" s="234" t="s">
        <v>333</v>
      </c>
      <c r="S5" s="235" t="s">
        <v>663</v>
      </c>
      <c r="T5" s="465">
        <v>2021</v>
      </c>
      <c r="U5" s="468" t="s">
        <v>160</v>
      </c>
      <c r="V5" s="144" t="s">
        <v>210</v>
      </c>
    </row>
    <row r="6" spans="1:22">
      <c r="A6" s="144" t="s">
        <v>1187</v>
      </c>
      <c r="B6" s="132" t="s">
        <v>164</v>
      </c>
      <c r="D6" s="467"/>
      <c r="E6" s="438">
        <v>70</v>
      </c>
      <c r="F6" s="438" t="s">
        <v>1575</v>
      </c>
      <c r="G6" s="438" t="s">
        <v>129</v>
      </c>
      <c r="H6" s="465" t="s">
        <v>1244</v>
      </c>
      <c r="I6" s="465" t="s">
        <v>1251</v>
      </c>
      <c r="J6" s="404">
        <v>71383809</v>
      </c>
      <c r="K6" s="438" t="s">
        <v>1187</v>
      </c>
      <c r="L6" s="191">
        <v>29738</v>
      </c>
      <c r="M6" s="439">
        <f t="shared" ca="1" si="0"/>
        <v>44</v>
      </c>
      <c r="N6" s="438" t="s">
        <v>73</v>
      </c>
      <c r="O6" s="472">
        <v>3053805757</v>
      </c>
      <c r="P6" s="473" t="s">
        <v>1252</v>
      </c>
      <c r="Q6" s="438" t="s">
        <v>1246</v>
      </c>
      <c r="R6" s="234" t="s">
        <v>333</v>
      </c>
      <c r="S6" s="235" t="s">
        <v>663</v>
      </c>
      <c r="T6" s="465">
        <v>2024</v>
      </c>
      <c r="U6" s="468" t="s">
        <v>160</v>
      </c>
      <c r="V6" s="144" t="s">
        <v>210</v>
      </c>
    </row>
    <row r="7" spans="1:22">
      <c r="A7" s="144" t="s">
        <v>1585</v>
      </c>
      <c r="B7" s="132" t="s">
        <v>321</v>
      </c>
      <c r="D7" s="467"/>
      <c r="E7" s="438">
        <v>70</v>
      </c>
      <c r="F7" s="438" t="s">
        <v>1575</v>
      </c>
      <c r="G7" s="438" t="s">
        <v>129</v>
      </c>
      <c r="H7" s="465" t="s">
        <v>1244</v>
      </c>
      <c r="I7" s="465" t="s">
        <v>1253</v>
      </c>
      <c r="J7" s="404">
        <v>43042183</v>
      </c>
      <c r="K7" s="438" t="s">
        <v>1191</v>
      </c>
      <c r="L7" s="191">
        <v>21992</v>
      </c>
      <c r="M7" s="439">
        <f t="shared" ca="1" si="0"/>
        <v>66</v>
      </c>
      <c r="N7" s="438"/>
      <c r="O7" s="472">
        <v>3146125100</v>
      </c>
      <c r="P7" s="473" t="s">
        <v>1254</v>
      </c>
      <c r="Q7" s="438" t="s">
        <v>1246</v>
      </c>
      <c r="R7" s="234" t="s">
        <v>333</v>
      </c>
      <c r="S7" s="235" t="s">
        <v>230</v>
      </c>
      <c r="T7" s="465">
        <v>2022</v>
      </c>
      <c r="U7" s="468" t="s">
        <v>160</v>
      </c>
      <c r="V7" s="144" t="s">
        <v>210</v>
      </c>
    </row>
    <row r="8" spans="1:22">
      <c r="B8" s="132" t="s">
        <v>192</v>
      </c>
      <c r="D8" s="467"/>
      <c r="E8" s="438">
        <v>70</v>
      </c>
      <c r="F8" s="438" t="s">
        <v>1575</v>
      </c>
      <c r="G8" s="438" t="s">
        <v>129</v>
      </c>
      <c r="H8" s="465" t="s">
        <v>1244</v>
      </c>
      <c r="I8" s="465" t="s">
        <v>1255</v>
      </c>
      <c r="J8" s="404">
        <v>43524709</v>
      </c>
      <c r="K8" s="438" t="s">
        <v>1191</v>
      </c>
      <c r="L8" s="191">
        <v>24269</v>
      </c>
      <c r="M8" s="439">
        <f t="shared" ca="1" si="0"/>
        <v>59</v>
      </c>
      <c r="N8" s="438" t="s">
        <v>56</v>
      </c>
      <c r="O8" s="472">
        <v>3014607681</v>
      </c>
      <c r="P8" s="473" t="s">
        <v>1256</v>
      </c>
      <c r="Q8" s="438" t="s">
        <v>1246</v>
      </c>
      <c r="R8" s="234" t="s">
        <v>333</v>
      </c>
      <c r="S8" s="235" t="s">
        <v>663</v>
      </c>
      <c r="T8" s="465">
        <v>2021</v>
      </c>
      <c r="U8" s="468" t="s">
        <v>160</v>
      </c>
      <c r="V8" s="144" t="s">
        <v>210</v>
      </c>
    </row>
    <row r="9" spans="1:22">
      <c r="A9" s="144" t="s">
        <v>56</v>
      </c>
      <c r="B9" s="132" t="s">
        <v>876</v>
      </c>
      <c r="D9" s="467"/>
      <c r="E9" s="438">
        <v>70</v>
      </c>
      <c r="F9" s="438" t="s">
        <v>1575</v>
      </c>
      <c r="G9" s="438" t="s">
        <v>129</v>
      </c>
      <c r="H9" s="465" t="s">
        <v>1244</v>
      </c>
      <c r="I9" s="465" t="s">
        <v>1257</v>
      </c>
      <c r="J9" s="404">
        <v>1017168727</v>
      </c>
      <c r="K9" s="438" t="s">
        <v>1191</v>
      </c>
      <c r="L9" s="191">
        <v>32570</v>
      </c>
      <c r="M9" s="439">
        <f t="shared" ca="1" si="0"/>
        <v>37</v>
      </c>
      <c r="N9" s="438" t="s">
        <v>73</v>
      </c>
      <c r="O9" s="472">
        <v>3006656584</v>
      </c>
      <c r="P9" s="475" t="s">
        <v>1258</v>
      </c>
      <c r="Q9" s="438" t="s">
        <v>1246</v>
      </c>
      <c r="R9" s="234" t="s">
        <v>333</v>
      </c>
      <c r="S9" s="235" t="s">
        <v>663</v>
      </c>
      <c r="T9" s="465">
        <v>2025</v>
      </c>
      <c r="U9" s="468" t="s">
        <v>160</v>
      </c>
      <c r="V9" s="144" t="s">
        <v>210</v>
      </c>
    </row>
    <row r="10" spans="1:22">
      <c r="A10" s="144" t="s">
        <v>212</v>
      </c>
      <c r="B10" s="132" t="s">
        <v>891</v>
      </c>
      <c r="D10" s="467"/>
      <c r="E10" s="438">
        <v>70</v>
      </c>
      <c r="F10" s="438" t="s">
        <v>1575</v>
      </c>
      <c r="G10" s="438" t="s">
        <v>129</v>
      </c>
      <c r="H10" s="465" t="s">
        <v>1244</v>
      </c>
      <c r="I10" s="465" t="s">
        <v>1259</v>
      </c>
      <c r="J10" s="404">
        <v>1192463141</v>
      </c>
      <c r="K10" s="438" t="s">
        <v>1191</v>
      </c>
      <c r="L10" s="191">
        <v>39658</v>
      </c>
      <c r="M10" s="439">
        <f t="shared" ca="1" si="0"/>
        <v>17</v>
      </c>
      <c r="N10" s="438" t="s">
        <v>212</v>
      </c>
      <c r="O10" s="472">
        <v>3052997350</v>
      </c>
      <c r="P10" s="475" t="s">
        <v>1260</v>
      </c>
      <c r="Q10" s="438" t="s">
        <v>1246</v>
      </c>
      <c r="R10" s="234" t="s">
        <v>192</v>
      </c>
      <c r="S10" s="235" t="s">
        <v>170</v>
      </c>
      <c r="T10" s="465">
        <v>2025</v>
      </c>
      <c r="U10" s="468" t="s">
        <v>160</v>
      </c>
      <c r="V10" s="144" t="s">
        <v>210</v>
      </c>
    </row>
    <row r="11" spans="1:22">
      <c r="A11" s="144" t="s">
        <v>73</v>
      </c>
      <c r="B11" s="132" t="s">
        <v>1585</v>
      </c>
      <c r="D11" s="467"/>
      <c r="E11" s="438">
        <v>70</v>
      </c>
      <c r="F11" s="438" t="s">
        <v>1575</v>
      </c>
      <c r="G11" s="438" t="s">
        <v>129</v>
      </c>
      <c r="H11" s="465" t="s">
        <v>1244</v>
      </c>
      <c r="I11" s="465" t="s">
        <v>1261</v>
      </c>
      <c r="J11" s="404">
        <v>43114251</v>
      </c>
      <c r="K11" s="438" t="s">
        <v>1191</v>
      </c>
      <c r="L11" s="191">
        <v>28297</v>
      </c>
      <c r="M11" s="439">
        <f t="shared" ca="1" si="0"/>
        <v>48</v>
      </c>
      <c r="N11" s="438" t="s">
        <v>56</v>
      </c>
      <c r="O11" s="472">
        <v>3015674495</v>
      </c>
      <c r="P11" s="473"/>
      <c r="Q11" s="438" t="s">
        <v>1246</v>
      </c>
      <c r="R11" s="234" t="s">
        <v>891</v>
      </c>
      <c r="S11" s="235" t="s">
        <v>193</v>
      </c>
      <c r="T11" s="465">
        <v>2025</v>
      </c>
      <c r="U11" s="468" t="s">
        <v>160</v>
      </c>
      <c r="V11" s="144" t="s">
        <v>210</v>
      </c>
    </row>
    <row r="12" spans="1:22">
      <c r="A12" s="144" t="s">
        <v>272</v>
      </c>
      <c r="B12" s="144"/>
      <c r="C12" s="144"/>
      <c r="D12" s="467"/>
      <c r="E12" s="438">
        <v>70</v>
      </c>
      <c r="F12" s="438" t="s">
        <v>1575</v>
      </c>
      <c r="G12" s="438" t="s">
        <v>129</v>
      </c>
      <c r="H12" s="465" t="s">
        <v>1244</v>
      </c>
      <c r="I12" s="465" t="s">
        <v>1262</v>
      </c>
      <c r="J12" s="404">
        <v>98695209</v>
      </c>
      <c r="K12" s="438" t="s">
        <v>1187</v>
      </c>
      <c r="L12" s="191">
        <v>29884</v>
      </c>
      <c r="M12" s="439">
        <f t="shared" ca="1" si="0"/>
        <v>44</v>
      </c>
      <c r="N12" s="438" t="s">
        <v>73</v>
      </c>
      <c r="O12" s="472">
        <v>3023764586</v>
      </c>
      <c r="P12" s="473" t="s">
        <v>1263</v>
      </c>
      <c r="Q12" s="438" t="s">
        <v>1246</v>
      </c>
      <c r="R12" s="234" t="s">
        <v>333</v>
      </c>
      <c r="S12" s="235" t="s">
        <v>193</v>
      </c>
      <c r="T12" s="465">
        <v>2025</v>
      </c>
      <c r="U12" s="468" t="s">
        <v>160</v>
      </c>
      <c r="V12" s="144" t="s">
        <v>210</v>
      </c>
    </row>
    <row r="13" spans="1:22">
      <c r="A13" s="144" t="s">
        <v>114</v>
      </c>
      <c r="B13" s="211" t="s">
        <v>461</v>
      </c>
      <c r="C13" s="211"/>
      <c r="D13" s="824" t="s">
        <v>2289</v>
      </c>
      <c r="E13" s="763">
        <v>70</v>
      </c>
      <c r="F13" s="763" t="s">
        <v>1575</v>
      </c>
      <c r="G13" s="763" t="s">
        <v>129</v>
      </c>
      <c r="H13" s="770" t="s">
        <v>1264</v>
      </c>
      <c r="I13" s="770" t="s">
        <v>1265</v>
      </c>
      <c r="J13" s="51">
        <v>98519446</v>
      </c>
      <c r="K13" s="763" t="s">
        <v>1187</v>
      </c>
      <c r="L13" s="765">
        <v>26965</v>
      </c>
      <c r="M13" s="766">
        <f t="shared" ca="1" si="0"/>
        <v>52</v>
      </c>
      <c r="N13" s="763"/>
      <c r="O13" s="51">
        <v>3116371502</v>
      </c>
      <c r="P13" s="770" t="s">
        <v>1266</v>
      </c>
      <c r="Q13" s="763" t="s">
        <v>1840</v>
      </c>
      <c r="R13" s="821" t="s">
        <v>333</v>
      </c>
      <c r="S13" s="822" t="s">
        <v>193</v>
      </c>
      <c r="T13" s="770">
        <v>2004</v>
      </c>
      <c r="U13" s="768" t="s">
        <v>166</v>
      </c>
      <c r="V13" s="761" t="s">
        <v>210</v>
      </c>
    </row>
    <row r="14" spans="1:22">
      <c r="A14" s="144" t="s">
        <v>1586</v>
      </c>
      <c r="B14" s="211" t="s">
        <v>663</v>
      </c>
      <c r="C14" s="211"/>
      <c r="D14" s="289"/>
      <c r="E14" s="440">
        <v>70</v>
      </c>
      <c r="F14" s="440" t="s">
        <v>1575</v>
      </c>
      <c r="G14" s="440" t="s">
        <v>129</v>
      </c>
      <c r="H14" s="466" t="s">
        <v>1264</v>
      </c>
      <c r="I14" s="466" t="s">
        <v>1267</v>
      </c>
      <c r="J14" s="405" t="s">
        <v>1268</v>
      </c>
      <c r="K14" s="440" t="s">
        <v>1191</v>
      </c>
      <c r="L14" s="177">
        <v>32419</v>
      </c>
      <c r="M14" s="441">
        <f t="shared" ca="1" si="0"/>
        <v>37</v>
      </c>
      <c r="N14" s="440" t="s">
        <v>56</v>
      </c>
      <c r="O14" s="405">
        <v>3243547246</v>
      </c>
      <c r="P14" s="466" t="s">
        <v>1269</v>
      </c>
      <c r="Q14" s="440" t="s">
        <v>1840</v>
      </c>
      <c r="R14" s="236" t="s">
        <v>333</v>
      </c>
      <c r="S14" s="237" t="s">
        <v>193</v>
      </c>
      <c r="T14" s="466">
        <v>2023</v>
      </c>
      <c r="U14" s="469" t="s">
        <v>160</v>
      </c>
      <c r="V14" s="144" t="s">
        <v>210</v>
      </c>
    </row>
    <row r="15" spans="1:22">
      <c r="A15" s="144" t="s">
        <v>227</v>
      </c>
      <c r="B15" s="211" t="s">
        <v>170</v>
      </c>
      <c r="C15" s="211"/>
      <c r="D15" s="289"/>
      <c r="E15" s="440">
        <v>70</v>
      </c>
      <c r="F15" s="440" t="s">
        <v>1575</v>
      </c>
      <c r="G15" s="440" t="s">
        <v>129</v>
      </c>
      <c r="H15" s="466" t="s">
        <v>1264</v>
      </c>
      <c r="I15" s="466" t="s">
        <v>1270</v>
      </c>
      <c r="J15" s="405">
        <v>98633852</v>
      </c>
      <c r="K15" s="440" t="s">
        <v>1187</v>
      </c>
      <c r="L15" s="177">
        <v>28531</v>
      </c>
      <c r="M15" s="441">
        <f t="shared" ca="1" si="0"/>
        <v>48</v>
      </c>
      <c r="N15" s="440"/>
      <c r="O15" s="405">
        <v>3163305473</v>
      </c>
      <c r="P15" s="476" t="s">
        <v>1271</v>
      </c>
      <c r="Q15" s="440" t="s">
        <v>1840</v>
      </c>
      <c r="R15" s="236" t="s">
        <v>333</v>
      </c>
      <c r="S15" s="237" t="s">
        <v>193</v>
      </c>
      <c r="T15" s="466">
        <v>2004</v>
      </c>
      <c r="U15" s="469" t="s">
        <v>160</v>
      </c>
      <c r="V15" s="144" t="s">
        <v>210</v>
      </c>
    </row>
    <row r="16" spans="1:22">
      <c r="A16" s="144" t="s">
        <v>1587</v>
      </c>
      <c r="B16" s="211" t="s">
        <v>193</v>
      </c>
      <c r="C16" s="211"/>
      <c r="D16" s="289"/>
      <c r="E16" s="440">
        <v>70</v>
      </c>
      <c r="F16" s="440" t="s">
        <v>1575</v>
      </c>
      <c r="G16" s="440" t="s">
        <v>129</v>
      </c>
      <c r="H16" s="466" t="s">
        <v>1264</v>
      </c>
      <c r="I16" s="466" t="s">
        <v>1272</v>
      </c>
      <c r="J16" s="405">
        <v>1007709449</v>
      </c>
      <c r="K16" s="440" t="s">
        <v>1191</v>
      </c>
      <c r="L16" s="177">
        <v>36750</v>
      </c>
      <c r="M16" s="441">
        <f t="shared" ca="1" si="0"/>
        <v>25</v>
      </c>
      <c r="N16" s="440"/>
      <c r="O16" s="405">
        <v>3024515519</v>
      </c>
      <c r="P16" s="466" t="s">
        <v>1273</v>
      </c>
      <c r="Q16" s="440"/>
      <c r="R16" s="236" t="s">
        <v>333</v>
      </c>
      <c r="S16" s="237" t="s">
        <v>230</v>
      </c>
      <c r="T16" s="466">
        <v>2023</v>
      </c>
      <c r="U16" s="469" t="s">
        <v>160</v>
      </c>
      <c r="V16" s="144" t="s">
        <v>210</v>
      </c>
    </row>
    <row r="17" spans="1:22">
      <c r="A17" s="144" t="s">
        <v>1588</v>
      </c>
      <c r="B17" s="211" t="s">
        <v>1881</v>
      </c>
      <c r="C17" s="211"/>
      <c r="D17" s="289"/>
      <c r="E17" s="440">
        <v>70</v>
      </c>
      <c r="F17" s="440" t="s">
        <v>1575</v>
      </c>
      <c r="G17" s="440" t="s">
        <v>129</v>
      </c>
      <c r="H17" s="466" t="s">
        <v>1264</v>
      </c>
      <c r="I17" s="466" t="s">
        <v>1275</v>
      </c>
      <c r="J17" s="405">
        <v>24372913</v>
      </c>
      <c r="K17" s="440" t="s">
        <v>1191</v>
      </c>
      <c r="L17" s="177">
        <v>30973</v>
      </c>
      <c r="M17" s="441">
        <f t="shared" ca="1" si="0"/>
        <v>41</v>
      </c>
      <c r="N17" s="440"/>
      <c r="O17" s="405">
        <v>3137945378</v>
      </c>
      <c r="P17" s="466" t="s">
        <v>1276</v>
      </c>
      <c r="Q17" s="440"/>
      <c r="R17" s="236" t="s">
        <v>333</v>
      </c>
      <c r="S17" s="237" t="s">
        <v>193</v>
      </c>
      <c r="T17" s="466">
        <v>2023</v>
      </c>
      <c r="U17" s="469" t="s">
        <v>160</v>
      </c>
      <c r="V17" s="144" t="s">
        <v>210</v>
      </c>
    </row>
    <row r="18" spans="1:22">
      <c r="B18" s="211" t="s">
        <v>1882</v>
      </c>
      <c r="C18" s="211"/>
      <c r="D18" s="289"/>
      <c r="E18" s="440">
        <v>70</v>
      </c>
      <c r="F18" s="440" t="s">
        <v>1575</v>
      </c>
      <c r="G18" s="440" t="s">
        <v>129</v>
      </c>
      <c r="H18" s="466" t="s">
        <v>1264</v>
      </c>
      <c r="I18" s="466" t="s">
        <v>1277</v>
      </c>
      <c r="J18" s="405">
        <v>1131224954</v>
      </c>
      <c r="K18" s="440" t="s">
        <v>1191</v>
      </c>
      <c r="L18" s="177">
        <v>41023</v>
      </c>
      <c r="M18" s="441">
        <f t="shared" ca="1" si="0"/>
        <v>14</v>
      </c>
      <c r="N18" s="440"/>
      <c r="O18" s="405">
        <v>3137945378</v>
      </c>
      <c r="P18" s="476" t="s">
        <v>1276</v>
      </c>
      <c r="Q18" s="440"/>
      <c r="R18" s="236" t="s">
        <v>333</v>
      </c>
      <c r="S18" s="237" t="s">
        <v>193</v>
      </c>
      <c r="T18" s="466">
        <v>2023</v>
      </c>
      <c r="U18" s="469" t="s">
        <v>160</v>
      </c>
      <c r="V18" s="144" t="s">
        <v>210</v>
      </c>
    </row>
    <row r="19" spans="1:22">
      <c r="A19" s="144" t="s">
        <v>160</v>
      </c>
      <c r="B19" s="211" t="s">
        <v>405</v>
      </c>
      <c r="C19" s="211"/>
      <c r="D19" s="289"/>
      <c r="E19" s="440">
        <v>70</v>
      </c>
      <c r="F19" s="440" t="s">
        <v>1575</v>
      </c>
      <c r="G19" s="440" t="s">
        <v>129</v>
      </c>
      <c r="H19" s="466" t="s">
        <v>1264</v>
      </c>
      <c r="I19" s="466" t="s">
        <v>1278</v>
      </c>
      <c r="J19" s="405">
        <v>1023653566</v>
      </c>
      <c r="K19" s="440" t="s">
        <v>1187</v>
      </c>
      <c r="L19" s="177">
        <v>42752</v>
      </c>
      <c r="M19" s="441">
        <f t="shared" ca="1" si="0"/>
        <v>9</v>
      </c>
      <c r="N19" s="440"/>
      <c r="O19" s="405">
        <v>3137945378</v>
      </c>
      <c r="P19" s="476" t="s">
        <v>1276</v>
      </c>
      <c r="Q19" s="440"/>
      <c r="R19" s="236" t="s">
        <v>192</v>
      </c>
      <c r="S19" s="237" t="s">
        <v>193</v>
      </c>
      <c r="T19" s="466">
        <v>2023</v>
      </c>
      <c r="U19" s="469" t="s">
        <v>160</v>
      </c>
      <c r="V19" s="144" t="s">
        <v>210</v>
      </c>
    </row>
    <row r="20" spans="1:22">
      <c r="A20" s="144" t="s">
        <v>166</v>
      </c>
      <c r="B20" s="211" t="s">
        <v>1883</v>
      </c>
      <c r="C20" s="211"/>
      <c r="D20" s="289"/>
      <c r="E20" s="440">
        <v>70</v>
      </c>
      <c r="F20" s="440" t="s">
        <v>1575</v>
      </c>
      <c r="G20" s="440" t="s">
        <v>129</v>
      </c>
      <c r="H20" s="466" t="s">
        <v>1264</v>
      </c>
      <c r="I20" s="466" t="s">
        <v>1279</v>
      </c>
      <c r="J20" s="405">
        <v>43529064</v>
      </c>
      <c r="K20" s="440" t="s">
        <v>1191</v>
      </c>
      <c r="L20" s="177">
        <v>24840</v>
      </c>
      <c r="M20" s="441">
        <f t="shared" ca="1" si="0"/>
        <v>58</v>
      </c>
      <c r="N20" s="440"/>
      <c r="O20" s="405">
        <v>3126973155</v>
      </c>
      <c r="P20" s="466" t="s">
        <v>1266</v>
      </c>
      <c r="Q20" s="440" t="s">
        <v>1840</v>
      </c>
      <c r="R20" s="236" t="s">
        <v>333</v>
      </c>
      <c r="S20" s="237" t="s">
        <v>193</v>
      </c>
      <c r="T20" s="466">
        <v>2023</v>
      </c>
      <c r="U20" s="469" t="s">
        <v>160</v>
      </c>
      <c r="V20" s="144" t="s">
        <v>210</v>
      </c>
    </row>
    <row r="21" spans="1:22">
      <c r="B21" s="211" t="s">
        <v>230</v>
      </c>
      <c r="C21" s="211"/>
      <c r="D21" s="289"/>
      <c r="E21" s="440">
        <v>70</v>
      </c>
      <c r="F21" s="440" t="s">
        <v>1575</v>
      </c>
      <c r="G21" s="440" t="s">
        <v>129</v>
      </c>
      <c r="H21" s="466" t="s">
        <v>1264</v>
      </c>
      <c r="I21" s="466" t="s">
        <v>1280</v>
      </c>
      <c r="J21" s="405">
        <v>1017219259</v>
      </c>
      <c r="K21" s="440" t="s">
        <v>1191</v>
      </c>
      <c r="L21" s="177">
        <v>34833</v>
      </c>
      <c r="M21" s="441">
        <f t="shared" ca="1" si="0"/>
        <v>31</v>
      </c>
      <c r="N21" s="440"/>
      <c r="O21" s="405">
        <v>3176244881</v>
      </c>
      <c r="P21" s="476" t="s">
        <v>1281</v>
      </c>
      <c r="Q21" s="440" t="s">
        <v>1840</v>
      </c>
      <c r="R21" s="236" t="s">
        <v>333</v>
      </c>
      <c r="S21" s="237" t="s">
        <v>193</v>
      </c>
      <c r="T21" s="466">
        <v>2023</v>
      </c>
      <c r="U21" s="469" t="s">
        <v>160</v>
      </c>
      <c r="V21" s="144" t="s">
        <v>210</v>
      </c>
    </row>
    <row r="22" spans="1:22">
      <c r="A22" s="144" t="s">
        <v>1838</v>
      </c>
      <c r="B22" s="211" t="s">
        <v>1884</v>
      </c>
      <c r="C22" s="211"/>
      <c r="D22" s="289"/>
      <c r="E22" s="440">
        <v>70</v>
      </c>
      <c r="F22" s="440" t="s">
        <v>1575</v>
      </c>
      <c r="G22" s="440" t="s">
        <v>129</v>
      </c>
      <c r="H22" s="466" t="s">
        <v>1264</v>
      </c>
      <c r="I22" s="466" t="s">
        <v>1282</v>
      </c>
      <c r="J22" s="405">
        <v>1021805378</v>
      </c>
      <c r="K22" s="440" t="s">
        <v>1191</v>
      </c>
      <c r="L22" s="177">
        <v>38883</v>
      </c>
      <c r="M22" s="441">
        <f t="shared" ca="1" si="0"/>
        <v>19</v>
      </c>
      <c r="N22" s="440"/>
      <c r="O22" s="405">
        <v>3148370150</v>
      </c>
      <c r="P22" s="477" t="s">
        <v>1283</v>
      </c>
      <c r="Q22" s="440"/>
      <c r="R22" s="236" t="s">
        <v>333</v>
      </c>
      <c r="S22" s="237" t="s">
        <v>193</v>
      </c>
      <c r="T22" s="466">
        <v>2023</v>
      </c>
      <c r="U22" s="469" t="s">
        <v>160</v>
      </c>
      <c r="V22" s="144" t="s">
        <v>210</v>
      </c>
    </row>
    <row r="23" spans="1:22">
      <c r="A23" s="144" t="s">
        <v>1596</v>
      </c>
      <c r="B23" s="211" t="s">
        <v>1885</v>
      </c>
      <c r="C23" s="211"/>
      <c r="D23" s="289"/>
      <c r="E23" s="440">
        <v>70</v>
      </c>
      <c r="F23" s="440" t="s">
        <v>1575</v>
      </c>
      <c r="G23" s="440" t="s">
        <v>129</v>
      </c>
      <c r="H23" s="466" t="s">
        <v>1264</v>
      </c>
      <c r="I23" s="466" t="s">
        <v>1285</v>
      </c>
      <c r="J23" s="405">
        <v>71772121</v>
      </c>
      <c r="K23" s="440" t="s">
        <v>1187</v>
      </c>
      <c r="L23" s="177">
        <v>27503</v>
      </c>
      <c r="M23" s="441">
        <f t="shared" ca="1" si="0"/>
        <v>51</v>
      </c>
      <c r="N23" s="440"/>
      <c r="O23" s="478">
        <v>3235074380</v>
      </c>
      <c r="P23" s="405" t="s">
        <v>1286</v>
      </c>
      <c r="Q23" s="440"/>
      <c r="R23" s="236" t="s">
        <v>333</v>
      </c>
      <c r="S23" s="237" t="s">
        <v>193</v>
      </c>
      <c r="T23" s="466">
        <v>2014</v>
      </c>
      <c r="U23" s="469" t="s">
        <v>160</v>
      </c>
      <c r="V23" s="144" t="s">
        <v>210</v>
      </c>
    </row>
    <row r="24" spans="1:22">
      <c r="A24" s="144" t="s">
        <v>1246</v>
      </c>
      <c r="B24" s="211" t="s">
        <v>1886</v>
      </c>
      <c r="C24" s="211"/>
      <c r="D24" s="289"/>
      <c r="E24" s="440">
        <v>70</v>
      </c>
      <c r="F24" s="440" t="s">
        <v>1575</v>
      </c>
      <c r="G24" s="440" t="s">
        <v>129</v>
      </c>
      <c r="H24" s="466" t="s">
        <v>1264</v>
      </c>
      <c r="I24" s="466" t="s">
        <v>1287</v>
      </c>
      <c r="J24" s="405">
        <v>1033259330</v>
      </c>
      <c r="K24" s="440" t="s">
        <v>1191</v>
      </c>
      <c r="L24" s="177">
        <v>39086</v>
      </c>
      <c r="M24" s="441">
        <f t="shared" ca="1" si="0"/>
        <v>19</v>
      </c>
      <c r="N24" s="440"/>
      <c r="O24" s="405">
        <v>3023345999</v>
      </c>
      <c r="P24" s="479" t="s">
        <v>1288</v>
      </c>
      <c r="Q24" s="440" t="s">
        <v>1246</v>
      </c>
      <c r="R24" s="236" t="s">
        <v>321</v>
      </c>
      <c r="S24" s="237" t="s">
        <v>193</v>
      </c>
      <c r="T24" s="466">
        <v>2021</v>
      </c>
      <c r="U24" s="469" t="s">
        <v>160</v>
      </c>
      <c r="V24" s="144" t="s">
        <v>210</v>
      </c>
    </row>
    <row r="25" spans="1:22">
      <c r="A25" s="144" t="s">
        <v>1839</v>
      </c>
      <c r="B25" s="211" t="s">
        <v>1887</v>
      </c>
      <c r="C25" s="211"/>
      <c r="D25" s="289"/>
      <c r="E25" s="440">
        <v>70</v>
      </c>
      <c r="F25" s="440" t="s">
        <v>1575</v>
      </c>
      <c r="G25" s="440" t="s">
        <v>129</v>
      </c>
      <c r="H25" s="405" t="s">
        <v>1264</v>
      </c>
      <c r="I25" s="405" t="s">
        <v>1289</v>
      </c>
      <c r="J25" s="405">
        <v>1027803507</v>
      </c>
      <c r="K25" s="440" t="s">
        <v>1191</v>
      </c>
      <c r="L25" s="177">
        <v>38980</v>
      </c>
      <c r="M25" s="441">
        <f t="shared" ca="1" si="0"/>
        <v>19</v>
      </c>
      <c r="N25" s="440"/>
      <c r="O25" s="405">
        <v>3232502258</v>
      </c>
      <c r="P25" s="405" t="s">
        <v>1290</v>
      </c>
      <c r="Q25" s="440" t="s">
        <v>1246</v>
      </c>
      <c r="R25" s="236" t="s">
        <v>192</v>
      </c>
      <c r="S25" s="237" t="s">
        <v>193</v>
      </c>
      <c r="T25" s="405">
        <v>2024</v>
      </c>
      <c r="U25" s="469" t="s">
        <v>160</v>
      </c>
      <c r="V25" s="144" t="s">
        <v>210</v>
      </c>
    </row>
    <row r="26" spans="1:22">
      <c r="A26" s="144" t="s">
        <v>1840</v>
      </c>
      <c r="B26" s="211" t="s">
        <v>1888</v>
      </c>
      <c r="C26" s="211"/>
      <c r="D26" s="824" t="s">
        <v>2289</v>
      </c>
      <c r="E26" s="763">
        <v>70</v>
      </c>
      <c r="F26" s="763" t="s">
        <v>1575</v>
      </c>
      <c r="G26" s="763" t="s">
        <v>129</v>
      </c>
      <c r="H26" s="51" t="s">
        <v>1291</v>
      </c>
      <c r="I26" s="915" t="s">
        <v>2273</v>
      </c>
      <c r="J26" s="915">
        <v>71772121</v>
      </c>
      <c r="K26" s="763" t="s">
        <v>1187</v>
      </c>
      <c r="L26" s="765"/>
      <c r="M26" s="766"/>
      <c r="N26" s="763" t="s">
        <v>56</v>
      </c>
      <c r="O26" s="915">
        <v>3235074380</v>
      </c>
      <c r="P26" s="916"/>
      <c r="Q26" s="763"/>
      <c r="R26" s="821"/>
      <c r="S26" s="822"/>
      <c r="T26" s="917">
        <v>2025</v>
      </c>
      <c r="U26" s="768" t="s">
        <v>160</v>
      </c>
      <c r="V26" s="761" t="s">
        <v>210</v>
      </c>
    </row>
    <row r="27" spans="1:22">
      <c r="A27" s="144" t="s">
        <v>1648</v>
      </c>
      <c r="B27" s="211" t="s">
        <v>1889</v>
      </c>
      <c r="C27" s="211"/>
      <c r="D27" s="467"/>
      <c r="E27" s="442">
        <v>70</v>
      </c>
      <c r="F27" s="442" t="s">
        <v>1575</v>
      </c>
      <c r="G27" s="442" t="s">
        <v>129</v>
      </c>
      <c r="H27" s="471" t="s">
        <v>1291</v>
      </c>
      <c r="I27" s="705" t="s">
        <v>2274</v>
      </c>
      <c r="J27" s="705">
        <v>1033258618</v>
      </c>
      <c r="K27" s="442" t="s">
        <v>1191</v>
      </c>
      <c r="L27" s="178"/>
      <c r="M27" s="443"/>
      <c r="N27" s="442" t="s">
        <v>56</v>
      </c>
      <c r="O27" s="705">
        <v>3042000704</v>
      </c>
      <c r="P27" s="480"/>
      <c r="Q27" s="442"/>
      <c r="R27" s="284"/>
      <c r="S27" s="285"/>
      <c r="T27" s="680">
        <v>2025</v>
      </c>
      <c r="U27" s="470" t="s">
        <v>160</v>
      </c>
      <c r="V27" s="144" t="s">
        <v>210</v>
      </c>
    </row>
    <row r="28" spans="1:22">
      <c r="A28" s="144" t="s">
        <v>1841</v>
      </c>
      <c r="B28" s="211" t="s">
        <v>1890</v>
      </c>
      <c r="C28" s="211"/>
      <c r="D28" s="467"/>
      <c r="E28" s="442">
        <v>70</v>
      </c>
      <c r="F28" s="442" t="s">
        <v>1575</v>
      </c>
      <c r="G28" s="442" t="s">
        <v>129</v>
      </c>
      <c r="H28" s="471" t="s">
        <v>1291</v>
      </c>
      <c r="I28" s="705" t="s">
        <v>2275</v>
      </c>
      <c r="J28" s="705">
        <v>1027801831</v>
      </c>
      <c r="K28" s="442" t="s">
        <v>1191</v>
      </c>
      <c r="L28" s="178"/>
      <c r="M28" s="443"/>
      <c r="N28" s="442" t="s">
        <v>73</v>
      </c>
      <c r="O28" s="705">
        <v>3024185251</v>
      </c>
      <c r="P28" s="480"/>
      <c r="Q28" s="442"/>
      <c r="R28" s="284"/>
      <c r="S28" s="285"/>
      <c r="T28" s="680">
        <v>2025</v>
      </c>
      <c r="U28" s="470" t="s">
        <v>160</v>
      </c>
      <c r="V28" s="144" t="s">
        <v>210</v>
      </c>
    </row>
    <row r="29" spans="1:22">
      <c r="A29" s="144" t="s">
        <v>280</v>
      </c>
      <c r="B29" s="211" t="s">
        <v>1891</v>
      </c>
      <c r="C29" s="211"/>
      <c r="D29" s="467"/>
      <c r="E29" s="442">
        <v>70</v>
      </c>
      <c r="F29" s="442" t="s">
        <v>1575</v>
      </c>
      <c r="G29" s="442" t="s">
        <v>129</v>
      </c>
      <c r="H29" s="471" t="s">
        <v>1291</v>
      </c>
      <c r="I29" s="705" t="s">
        <v>2276</v>
      </c>
      <c r="J29" s="705">
        <v>1002159574</v>
      </c>
      <c r="K29" s="442" t="s">
        <v>1187</v>
      </c>
      <c r="L29" s="178"/>
      <c r="M29" s="443"/>
      <c r="N29" s="442" t="s">
        <v>73</v>
      </c>
      <c r="O29" s="705">
        <v>3116876413</v>
      </c>
      <c r="P29" s="480"/>
      <c r="Q29" s="442"/>
      <c r="R29" s="284"/>
      <c r="S29" s="285"/>
      <c r="T29" s="680">
        <v>2025</v>
      </c>
      <c r="U29" s="470" t="s">
        <v>160</v>
      </c>
      <c r="V29" s="144" t="s">
        <v>210</v>
      </c>
    </row>
    <row r="30" spans="1:22">
      <c r="A30" s="144"/>
      <c r="B30" s="211" t="s">
        <v>1892</v>
      </c>
      <c r="C30" s="211"/>
      <c r="D30" s="467"/>
      <c r="E30" s="442">
        <v>70</v>
      </c>
      <c r="F30" s="442" t="s">
        <v>1575</v>
      </c>
      <c r="G30" s="442" t="s">
        <v>129</v>
      </c>
      <c r="H30" s="471" t="s">
        <v>1291</v>
      </c>
      <c r="I30" s="705" t="s">
        <v>2277</v>
      </c>
      <c r="J30" s="705">
        <v>1017180173</v>
      </c>
      <c r="K30" s="442" t="s">
        <v>1191</v>
      </c>
      <c r="L30" s="178"/>
      <c r="M30" s="443"/>
      <c r="N30" s="442" t="s">
        <v>56</v>
      </c>
      <c r="O30" s="705">
        <v>3218373032</v>
      </c>
      <c r="P30" s="480"/>
      <c r="Q30" s="442"/>
      <c r="R30" s="284"/>
      <c r="S30" s="285"/>
      <c r="T30" s="680">
        <v>2025</v>
      </c>
      <c r="U30" s="470" t="s">
        <v>160</v>
      </c>
      <c r="V30" s="144" t="s">
        <v>210</v>
      </c>
    </row>
    <row r="31" spans="1:22">
      <c r="A31" s="144"/>
      <c r="B31" s="211" t="s">
        <v>1893</v>
      </c>
      <c r="C31" s="211"/>
      <c r="D31" s="467"/>
      <c r="E31" s="442">
        <v>70</v>
      </c>
      <c r="F31" s="442" t="s">
        <v>1575</v>
      </c>
      <c r="G31" s="442" t="s">
        <v>129</v>
      </c>
      <c r="H31" s="471" t="s">
        <v>1291</v>
      </c>
      <c r="I31" s="705" t="s">
        <v>2278</v>
      </c>
      <c r="J31" s="705">
        <v>98771635</v>
      </c>
      <c r="K31" s="442" t="s">
        <v>1187</v>
      </c>
      <c r="L31" s="178"/>
      <c r="M31" s="443"/>
      <c r="N31" s="442" t="s">
        <v>73</v>
      </c>
      <c r="O31" s="705">
        <v>3332854990</v>
      </c>
      <c r="P31" s="480"/>
      <c r="Q31" s="442"/>
      <c r="R31" s="284"/>
      <c r="S31" s="285"/>
      <c r="T31" s="680">
        <v>2025</v>
      </c>
      <c r="U31" s="470" t="s">
        <v>160</v>
      </c>
      <c r="V31" s="144" t="s">
        <v>210</v>
      </c>
    </row>
    <row r="32" spans="1:22">
      <c r="A32" s="144"/>
      <c r="B32" s="211" t="s">
        <v>1894</v>
      </c>
      <c r="C32" s="211"/>
      <c r="D32" s="467"/>
      <c r="E32" s="442">
        <v>70</v>
      </c>
      <c r="F32" s="442" t="s">
        <v>1575</v>
      </c>
      <c r="G32" s="442" t="s">
        <v>129</v>
      </c>
      <c r="H32" s="471" t="s">
        <v>1291</v>
      </c>
      <c r="I32" s="705" t="s">
        <v>2279</v>
      </c>
      <c r="J32" s="705">
        <v>43977360</v>
      </c>
      <c r="K32" s="442" t="s">
        <v>1191</v>
      </c>
      <c r="L32" s="178"/>
      <c r="M32" s="443"/>
      <c r="N32" s="442" t="s">
        <v>73</v>
      </c>
      <c r="O32" s="705">
        <v>3126835604</v>
      </c>
      <c r="P32" s="480"/>
      <c r="Q32" s="442"/>
      <c r="R32" s="284"/>
      <c r="S32" s="285"/>
      <c r="T32" s="680">
        <v>2025</v>
      </c>
      <c r="U32" s="470" t="s">
        <v>160</v>
      </c>
      <c r="V32" s="144" t="s">
        <v>210</v>
      </c>
    </row>
    <row r="33" spans="1:22">
      <c r="A33" s="144"/>
      <c r="B33" s="211" t="s">
        <v>1895</v>
      </c>
      <c r="C33" s="211"/>
      <c r="D33" s="467"/>
      <c r="E33" s="442">
        <v>70</v>
      </c>
      <c r="F33" s="442" t="s">
        <v>1575</v>
      </c>
      <c r="G33" s="442" t="s">
        <v>129</v>
      </c>
      <c r="H33" s="471" t="s">
        <v>1291</v>
      </c>
      <c r="I33" s="705" t="s">
        <v>2280</v>
      </c>
      <c r="J33" s="705">
        <v>1033261464</v>
      </c>
      <c r="K33" s="442" t="s">
        <v>1191</v>
      </c>
      <c r="L33" s="178"/>
      <c r="M33" s="443"/>
      <c r="N33" s="442" t="s">
        <v>56</v>
      </c>
      <c r="O33" s="705">
        <v>3013791863</v>
      </c>
      <c r="P33" s="480"/>
      <c r="Q33" s="442"/>
      <c r="R33" s="284"/>
      <c r="S33" s="285"/>
      <c r="T33" s="680">
        <v>2025</v>
      </c>
      <c r="U33" s="470" t="s">
        <v>160</v>
      </c>
      <c r="V33" s="144" t="s">
        <v>210</v>
      </c>
    </row>
    <row r="34" spans="1:22">
      <c r="A34" s="144"/>
      <c r="B34" s="211" t="s">
        <v>1896</v>
      </c>
      <c r="C34" s="211"/>
      <c r="D34" s="467"/>
      <c r="E34" s="442">
        <v>70</v>
      </c>
      <c r="F34" s="442" t="s">
        <v>1575</v>
      </c>
      <c r="G34" s="442" t="s">
        <v>129</v>
      </c>
      <c r="H34" s="471" t="s">
        <v>1291</v>
      </c>
      <c r="I34" s="705" t="s">
        <v>2281</v>
      </c>
      <c r="J34" s="705">
        <v>1033194071</v>
      </c>
      <c r="K34" s="442" t="s">
        <v>1187</v>
      </c>
      <c r="L34" s="178"/>
      <c r="M34" s="443"/>
      <c r="N34" s="442" t="s">
        <v>56</v>
      </c>
      <c r="O34" s="705">
        <v>3013791863</v>
      </c>
      <c r="P34" s="480"/>
      <c r="Q34" s="442"/>
      <c r="R34" s="284"/>
      <c r="S34" s="285"/>
      <c r="T34" s="680">
        <v>2025</v>
      </c>
      <c r="U34" s="470" t="s">
        <v>160</v>
      </c>
      <c r="V34" s="144" t="s">
        <v>210</v>
      </c>
    </row>
    <row r="35" spans="1:22">
      <c r="B35" s="132" t="s">
        <v>1899</v>
      </c>
      <c r="D35" s="467"/>
      <c r="E35" s="442">
        <v>70</v>
      </c>
      <c r="F35" s="442" t="s">
        <v>1575</v>
      </c>
      <c r="G35" s="442" t="s">
        <v>129</v>
      </c>
      <c r="H35" s="471" t="s">
        <v>1291</v>
      </c>
      <c r="I35" s="705" t="s">
        <v>2282</v>
      </c>
      <c r="J35" s="705">
        <v>1128274511</v>
      </c>
      <c r="K35" s="442" t="s">
        <v>1191</v>
      </c>
      <c r="L35" s="178"/>
      <c r="M35" s="443"/>
      <c r="N35" s="442" t="s">
        <v>56</v>
      </c>
      <c r="O35" s="705">
        <v>3127168111</v>
      </c>
      <c r="P35" s="480"/>
      <c r="Q35" s="442"/>
      <c r="R35" s="284"/>
      <c r="S35" s="285"/>
      <c r="T35" s="680">
        <v>2025</v>
      </c>
      <c r="U35" s="470" t="s">
        <v>160</v>
      </c>
      <c r="V35" s="144" t="s">
        <v>210</v>
      </c>
    </row>
    <row r="36" spans="1:22">
      <c r="A36" s="144"/>
      <c r="B36" s="132" t="s">
        <v>1900</v>
      </c>
      <c r="D36" s="467"/>
      <c r="E36" s="442">
        <v>70</v>
      </c>
      <c r="F36" s="442" t="s">
        <v>1575</v>
      </c>
      <c r="G36" s="442" t="s">
        <v>129</v>
      </c>
      <c r="H36" s="471" t="s">
        <v>1291</v>
      </c>
      <c r="I36" s="705" t="s">
        <v>2283</v>
      </c>
      <c r="J36" s="705">
        <v>42799898</v>
      </c>
      <c r="K36" s="442" t="s">
        <v>1191</v>
      </c>
      <c r="L36" s="178"/>
      <c r="M36" s="443"/>
      <c r="N36" s="442" t="s">
        <v>56</v>
      </c>
      <c r="O36" s="705">
        <v>3145404108</v>
      </c>
      <c r="P36" s="480"/>
      <c r="Q36" s="442"/>
      <c r="R36" s="284"/>
      <c r="S36" s="285"/>
      <c r="T36" s="680">
        <v>2025</v>
      </c>
      <c r="U36" s="470" t="s">
        <v>160</v>
      </c>
      <c r="V36" s="144" t="s">
        <v>210</v>
      </c>
    </row>
    <row r="37" spans="1:22">
      <c r="B37" s="132" t="s">
        <v>1898</v>
      </c>
      <c r="D37" s="467"/>
      <c r="E37" s="442">
        <v>70</v>
      </c>
      <c r="F37" s="442" t="s">
        <v>1575</v>
      </c>
      <c r="G37" s="442" t="s">
        <v>129</v>
      </c>
      <c r="H37" s="471" t="s">
        <v>1291</v>
      </c>
      <c r="I37" s="705" t="s">
        <v>2284</v>
      </c>
      <c r="J37" s="705">
        <v>73197602</v>
      </c>
      <c r="K37" s="442" t="s">
        <v>1187</v>
      </c>
      <c r="L37" s="178"/>
      <c r="M37" s="443"/>
      <c r="N37" s="442" t="s">
        <v>73</v>
      </c>
      <c r="O37" s="705">
        <v>3143980971</v>
      </c>
      <c r="P37" s="702"/>
      <c r="Q37" s="442"/>
      <c r="R37" s="703"/>
      <c r="S37" s="700"/>
      <c r="T37" s="680">
        <v>2025</v>
      </c>
      <c r="U37" s="470" t="s">
        <v>160</v>
      </c>
      <c r="V37" s="144" t="s">
        <v>210</v>
      </c>
    </row>
    <row r="38" spans="1:22">
      <c r="A38" s="144"/>
      <c r="B38" s="144" t="s">
        <v>218</v>
      </c>
      <c r="C38" s="144"/>
      <c r="D38" s="467"/>
      <c r="E38" s="442">
        <v>70</v>
      </c>
      <c r="F38" s="442" t="s">
        <v>1575</v>
      </c>
      <c r="G38" s="442" t="s">
        <v>129</v>
      </c>
      <c r="H38" s="471" t="s">
        <v>1291</v>
      </c>
      <c r="I38" s="705" t="s">
        <v>2285</v>
      </c>
      <c r="J38" s="705">
        <v>71584934</v>
      </c>
      <c r="K38" s="442" t="s">
        <v>1187</v>
      </c>
      <c r="L38" s="178"/>
      <c r="M38" s="443"/>
      <c r="N38" s="442" t="s">
        <v>56</v>
      </c>
      <c r="O38" s="705">
        <v>3235074380</v>
      </c>
      <c r="P38" s="702"/>
      <c r="Q38" s="442"/>
      <c r="R38" s="703"/>
      <c r="S38" s="700"/>
      <c r="T38" s="680">
        <v>2025</v>
      </c>
      <c r="U38" s="470" t="s">
        <v>160</v>
      </c>
      <c r="V38" s="144" t="s">
        <v>210</v>
      </c>
    </row>
    <row r="39" spans="1:22">
      <c r="A39" s="144"/>
      <c r="B39" s="144" t="s">
        <v>1585</v>
      </c>
      <c r="C39" s="144"/>
      <c r="D39" s="467"/>
      <c r="E39" s="442">
        <v>70</v>
      </c>
      <c r="F39" s="442" t="s">
        <v>1575</v>
      </c>
      <c r="G39" s="442" t="s">
        <v>129</v>
      </c>
      <c r="H39" s="471" t="s">
        <v>1291</v>
      </c>
      <c r="I39" s="705" t="s">
        <v>2286</v>
      </c>
      <c r="J39" s="705">
        <v>57431749</v>
      </c>
      <c r="K39" s="442" t="s">
        <v>1191</v>
      </c>
      <c r="L39" s="178"/>
      <c r="M39" s="443"/>
      <c r="N39" s="442" t="s">
        <v>56</v>
      </c>
      <c r="O39" s="705">
        <v>3225935606</v>
      </c>
      <c r="P39" s="702"/>
      <c r="Q39" s="442"/>
      <c r="R39" s="703"/>
      <c r="S39" s="700"/>
      <c r="T39" s="680">
        <v>2025</v>
      </c>
      <c r="U39" s="470" t="s">
        <v>160</v>
      </c>
      <c r="V39" s="144" t="s">
        <v>210</v>
      </c>
    </row>
    <row r="40" spans="1:22">
      <c r="D40" s="467"/>
      <c r="E40" s="442">
        <v>70</v>
      </c>
      <c r="F40" s="442" t="s">
        <v>1575</v>
      </c>
      <c r="G40" s="442" t="s">
        <v>129</v>
      </c>
      <c r="H40" s="471" t="s">
        <v>1291</v>
      </c>
      <c r="I40" s="705" t="s">
        <v>2287</v>
      </c>
      <c r="J40" s="705">
        <v>1152440273</v>
      </c>
      <c r="K40" s="442" t="s">
        <v>1191</v>
      </c>
      <c r="L40" s="178"/>
      <c r="M40" s="443"/>
      <c r="N40" s="442" t="s">
        <v>114</v>
      </c>
      <c r="O40" s="705">
        <v>3044258490</v>
      </c>
      <c r="P40" s="702"/>
      <c r="Q40" s="442"/>
      <c r="R40" s="703"/>
      <c r="S40" s="700"/>
      <c r="T40" s="680">
        <v>2025</v>
      </c>
      <c r="U40" s="470" t="s">
        <v>160</v>
      </c>
      <c r="V40" s="144" t="s">
        <v>210</v>
      </c>
    </row>
    <row r="41" spans="1:22">
      <c r="A41" s="144"/>
    </row>
    <row r="42" spans="1:22">
      <c r="A42" s="144"/>
    </row>
    <row r="43" spans="1:22">
      <c r="A43" s="144"/>
    </row>
    <row r="44" spans="1:22">
      <c r="B44" s="146"/>
      <c r="C44" s="146"/>
    </row>
  </sheetData>
  <dataValidations count="7">
    <dataValidation type="list" allowBlank="1" showInputMessage="1" showErrorMessage="1" sqref="U3:U40" xr:uid="{0C1CCC07-5887-4998-AC51-BE968093C95D}">
      <formula1>$A$18:$A$20</formula1>
    </dataValidation>
    <dataValidation type="list" allowBlank="1" showInputMessage="1" showErrorMessage="1" sqref="N3:N40" xr:uid="{091F5D21-12C7-4ECF-B5B9-1EDB33954B30}">
      <formula1>$A$8:$A$17</formula1>
    </dataValidation>
    <dataValidation type="list" allowBlank="1" showInputMessage="1" showErrorMessage="1" sqref="K3:K40" xr:uid="{E04682EC-BCD8-4A93-BCFE-8E7510413913}">
      <formula1>$A$4:$A$7</formula1>
    </dataValidation>
    <dataValidation type="list" allowBlank="1" showInputMessage="1" showErrorMessage="1" sqref="G3:G40" xr:uid="{695F5702-C99A-44C1-AE3A-BA9D9DE7E740}">
      <formula1>$A$1:$A$3</formula1>
    </dataValidation>
    <dataValidation type="list" allowBlank="1" showInputMessage="1" showErrorMessage="1" sqref="Q3:Q40" xr:uid="{212D0AFB-E78A-461E-AD10-83CEC08A5BC5}">
      <formula1>$A$21:$A$29</formula1>
    </dataValidation>
    <dataValidation type="list" allowBlank="1" showInputMessage="1" showErrorMessage="1" sqref="R3:R40" xr:uid="{8AE98A98-459D-4197-A969-F1C2CFF88B3D}">
      <formula1>$B$5:$B$11</formula1>
    </dataValidation>
    <dataValidation type="list" allowBlank="1" showInputMessage="1" showErrorMessage="1" sqref="S3:S40" xr:uid="{C543D801-F8C0-4B00-BD4B-448DF3CDF541}">
      <formula1>$B$13:$B$39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7597-D121-4E28-9A45-2BA68EB31C36}">
  <dimension ref="A2:V96"/>
  <sheetViews>
    <sheetView zoomScale="61" zoomScaleNormal="147" workbookViewId="0">
      <selection activeCell="V3" sqref="E3:V91"/>
    </sheetView>
  </sheetViews>
  <sheetFormatPr baseColWidth="10" defaultColWidth="11.5546875" defaultRowHeight="14.4"/>
  <cols>
    <col min="1" max="1" width="22.6640625" style="291" bestFit="1" customWidth="1"/>
    <col min="2" max="3" width="22.6640625" style="291" customWidth="1"/>
    <col min="4" max="4" width="9" style="291" customWidth="1"/>
    <col min="5" max="5" width="11.5546875" style="291"/>
    <col min="6" max="6" width="34.88671875" style="291" bestFit="1" customWidth="1"/>
    <col min="7" max="7" width="21.6640625" style="291" customWidth="1"/>
    <col min="8" max="8" width="29.44140625" style="291" bestFit="1" customWidth="1"/>
    <col min="9" max="9" width="36" style="291" bestFit="1" customWidth="1"/>
    <col min="10" max="10" width="12.33203125" style="291" bestFit="1" customWidth="1"/>
    <col min="11" max="11" width="11.5546875" style="291"/>
    <col min="12" max="12" width="23.6640625" style="291" customWidth="1"/>
    <col min="13" max="13" width="11.5546875" style="291"/>
    <col min="14" max="14" width="18.33203125" style="291" customWidth="1"/>
    <col min="15" max="15" width="12.109375" style="291" bestFit="1" customWidth="1"/>
    <col min="16" max="16" width="25.109375" style="291" customWidth="1"/>
    <col min="17" max="17" width="11.5546875" style="291"/>
    <col min="18" max="18" width="13.44140625" style="291" customWidth="1"/>
    <col min="19" max="19" width="11.5546875" style="291"/>
    <col min="20" max="20" width="30" style="291" customWidth="1"/>
    <col min="21" max="21" width="29.6640625" style="291" customWidth="1"/>
    <col min="22" max="16384" width="11.5546875" style="291"/>
  </cols>
  <sheetData>
    <row r="2" spans="1:22">
      <c r="A2" s="291" t="s">
        <v>151</v>
      </c>
      <c r="D2" s="153" t="s">
        <v>417</v>
      </c>
      <c r="E2" s="153" t="s">
        <v>2288</v>
      </c>
      <c r="F2" s="149" t="s">
        <v>1854</v>
      </c>
      <c r="G2" s="149" t="s">
        <v>1584</v>
      </c>
      <c r="H2" s="149" t="s">
        <v>418</v>
      </c>
      <c r="I2" s="149" t="s">
        <v>1410</v>
      </c>
      <c r="J2" s="149" t="s">
        <v>5</v>
      </c>
      <c r="K2" s="149" t="s">
        <v>6</v>
      </c>
      <c r="L2" s="149" t="s">
        <v>7</v>
      </c>
      <c r="M2" s="149" t="s">
        <v>8</v>
      </c>
      <c r="N2" s="149" t="s">
        <v>9</v>
      </c>
      <c r="O2" s="149" t="s">
        <v>1589</v>
      </c>
      <c r="P2" s="149" t="s">
        <v>11</v>
      </c>
      <c r="Q2" s="149" t="s">
        <v>12</v>
      </c>
      <c r="R2" s="149" t="s">
        <v>14</v>
      </c>
      <c r="S2" s="149" t="s">
        <v>16</v>
      </c>
      <c r="T2" s="149" t="s">
        <v>1590</v>
      </c>
      <c r="U2" s="297" t="s">
        <v>18</v>
      </c>
      <c r="V2" s="708" t="s">
        <v>20</v>
      </c>
    </row>
    <row r="3" spans="1:22">
      <c r="A3" s="291" t="s">
        <v>129</v>
      </c>
      <c r="D3" s="918" t="s">
        <v>2290</v>
      </c>
      <c r="E3" s="758">
        <v>80</v>
      </c>
      <c r="F3" s="758" t="s">
        <v>1576</v>
      </c>
      <c r="G3" s="758" t="s">
        <v>151</v>
      </c>
      <c r="H3" s="919" t="s">
        <v>1292</v>
      </c>
      <c r="I3" s="919" t="s">
        <v>1293</v>
      </c>
      <c r="J3" s="919">
        <v>42796712</v>
      </c>
      <c r="K3" s="758" t="s">
        <v>1191</v>
      </c>
      <c r="L3" s="867">
        <v>23199</v>
      </c>
      <c r="M3" s="860">
        <f ca="1">DATEDIF(L3,TODAY(),"Y")</f>
        <v>62</v>
      </c>
      <c r="N3" s="758"/>
      <c r="O3" s="920">
        <v>3136543658</v>
      </c>
      <c r="P3" s="921" t="s">
        <v>1294</v>
      </c>
      <c r="Q3" s="758" t="s">
        <v>1291</v>
      </c>
      <c r="R3" s="862" t="s">
        <v>891</v>
      </c>
      <c r="S3" s="863" t="s">
        <v>1585</v>
      </c>
      <c r="T3" s="922">
        <v>1994</v>
      </c>
      <c r="U3" s="864" t="s">
        <v>166</v>
      </c>
      <c r="V3" s="869" t="s">
        <v>210</v>
      </c>
    </row>
    <row r="4" spans="1:22">
      <c r="D4" s="522"/>
      <c r="E4" s="368">
        <v>80</v>
      </c>
      <c r="F4" s="368" t="s">
        <v>1576</v>
      </c>
      <c r="G4" s="368" t="s">
        <v>151</v>
      </c>
      <c r="H4" s="483" t="s">
        <v>1292</v>
      </c>
      <c r="I4" s="483" t="s">
        <v>1295</v>
      </c>
      <c r="J4" s="483">
        <v>43993261</v>
      </c>
      <c r="K4" s="368" t="s">
        <v>1191</v>
      </c>
      <c r="L4" s="484">
        <v>31267</v>
      </c>
      <c r="M4" s="371">
        <f ca="1">DATEDIF(L4,TODAY(),"Y")</f>
        <v>40</v>
      </c>
      <c r="N4" s="368"/>
      <c r="O4" s="485">
        <v>3226090141</v>
      </c>
      <c r="P4" s="486" t="s">
        <v>1296</v>
      </c>
      <c r="Q4" s="368" t="s">
        <v>1291</v>
      </c>
      <c r="R4" s="373" t="s">
        <v>333</v>
      </c>
      <c r="S4" s="374" t="s">
        <v>663</v>
      </c>
      <c r="T4" s="487">
        <v>2006</v>
      </c>
      <c r="U4" s="375" t="s">
        <v>160</v>
      </c>
      <c r="V4" s="291" t="s">
        <v>210</v>
      </c>
    </row>
    <row r="5" spans="1:22">
      <c r="A5" s="291" t="s">
        <v>1191</v>
      </c>
      <c r="B5" s="488" t="s">
        <v>333</v>
      </c>
      <c r="C5" s="488"/>
      <c r="D5" s="522"/>
      <c r="E5" s="368">
        <v>80</v>
      </c>
      <c r="F5" s="368" t="s">
        <v>1576</v>
      </c>
      <c r="G5" s="368" t="s">
        <v>151</v>
      </c>
      <c r="H5" s="483" t="s">
        <v>1292</v>
      </c>
      <c r="I5" s="483" t="s">
        <v>1297</v>
      </c>
      <c r="J5" s="483">
        <v>98526485</v>
      </c>
      <c r="K5" s="368" t="s">
        <v>1187</v>
      </c>
      <c r="L5" s="484">
        <v>25298</v>
      </c>
      <c r="M5" s="371">
        <f t="shared" ref="M5:M68" ca="1" si="0">DATEDIF(L5,TODAY(),"Y")</f>
        <v>57</v>
      </c>
      <c r="N5" s="368"/>
      <c r="O5" s="485">
        <v>3005945433</v>
      </c>
      <c r="P5" s="486" t="s">
        <v>1298</v>
      </c>
      <c r="Q5" s="368" t="s">
        <v>1291</v>
      </c>
      <c r="R5" s="373" t="s">
        <v>333</v>
      </c>
      <c r="S5" s="374" t="s">
        <v>193</v>
      </c>
      <c r="T5" s="487">
        <v>1999</v>
      </c>
      <c r="U5" s="375" t="s">
        <v>160</v>
      </c>
      <c r="V5" s="291" t="s">
        <v>210</v>
      </c>
    </row>
    <row r="6" spans="1:22">
      <c r="A6" s="291" t="s">
        <v>1187</v>
      </c>
      <c r="B6" s="488" t="s">
        <v>164</v>
      </c>
      <c r="C6" s="488"/>
      <c r="D6" s="522"/>
      <c r="E6" s="368">
        <v>80</v>
      </c>
      <c r="F6" s="368" t="s">
        <v>1576</v>
      </c>
      <c r="G6" s="368" t="s">
        <v>151</v>
      </c>
      <c r="H6" s="483" t="s">
        <v>1292</v>
      </c>
      <c r="I6" s="483" t="s">
        <v>1299</v>
      </c>
      <c r="J6" s="483">
        <v>42778769</v>
      </c>
      <c r="K6" s="368" t="s">
        <v>1191</v>
      </c>
      <c r="L6" s="484">
        <v>25207</v>
      </c>
      <c r="M6" s="371">
        <f t="shared" ca="1" si="0"/>
        <v>57</v>
      </c>
      <c r="N6" s="368"/>
      <c r="O6" s="485">
        <v>3117193651</v>
      </c>
      <c r="P6" s="486" t="s">
        <v>1300</v>
      </c>
      <c r="Q6" s="368" t="s">
        <v>1291</v>
      </c>
      <c r="R6" s="373" t="s">
        <v>891</v>
      </c>
      <c r="S6" s="374" t="s">
        <v>193</v>
      </c>
      <c r="T6" s="487">
        <v>1999</v>
      </c>
      <c r="U6" s="375" t="s">
        <v>160</v>
      </c>
      <c r="V6" s="291" t="s">
        <v>210</v>
      </c>
    </row>
    <row r="7" spans="1:22">
      <c r="A7" s="291" t="s">
        <v>1585</v>
      </c>
      <c r="B7" s="488" t="s">
        <v>321</v>
      </c>
      <c r="C7" s="488"/>
      <c r="D7" s="522"/>
      <c r="E7" s="368">
        <v>80</v>
      </c>
      <c r="F7" s="368" t="s">
        <v>1576</v>
      </c>
      <c r="G7" s="368" t="s">
        <v>151</v>
      </c>
      <c r="H7" s="483" t="s">
        <v>1292</v>
      </c>
      <c r="I7" s="483" t="s">
        <v>1301</v>
      </c>
      <c r="J7" s="483">
        <v>26249139</v>
      </c>
      <c r="K7" s="368" t="s">
        <v>1191</v>
      </c>
      <c r="L7" s="484">
        <v>21848</v>
      </c>
      <c r="M7" s="371">
        <f t="shared" ca="1" si="0"/>
        <v>66</v>
      </c>
      <c r="N7" s="368"/>
      <c r="O7" s="485">
        <v>3122595300</v>
      </c>
      <c r="P7" s="486" t="s">
        <v>1302</v>
      </c>
      <c r="Q7" s="368" t="s">
        <v>1291</v>
      </c>
      <c r="R7" s="373" t="s">
        <v>333</v>
      </c>
      <c r="S7" s="374" t="s">
        <v>663</v>
      </c>
      <c r="T7" s="487">
        <v>1996</v>
      </c>
      <c r="U7" s="375" t="s">
        <v>160</v>
      </c>
      <c r="V7" s="291" t="s">
        <v>210</v>
      </c>
    </row>
    <row r="8" spans="1:22">
      <c r="B8" s="488" t="s">
        <v>192</v>
      </c>
      <c r="C8" s="488"/>
      <c r="D8" s="522"/>
      <c r="E8" s="368">
        <v>80</v>
      </c>
      <c r="F8" s="368" t="s">
        <v>1576</v>
      </c>
      <c r="G8" s="368" t="s">
        <v>151</v>
      </c>
      <c r="H8" s="483" t="s">
        <v>1292</v>
      </c>
      <c r="I8" s="483" t="s">
        <v>1303</v>
      </c>
      <c r="J8" s="483">
        <v>1023702279</v>
      </c>
      <c r="K8" s="368" t="s">
        <v>1187</v>
      </c>
      <c r="L8" s="484">
        <v>33553</v>
      </c>
      <c r="M8" s="371">
        <f t="shared" ca="1" si="0"/>
        <v>34</v>
      </c>
      <c r="N8" s="368"/>
      <c r="O8" s="485">
        <v>3247842083</v>
      </c>
      <c r="P8" s="486" t="s">
        <v>1304</v>
      </c>
      <c r="Q8" s="368" t="s">
        <v>1291</v>
      </c>
      <c r="R8" s="373" t="s">
        <v>333</v>
      </c>
      <c r="S8" s="374" t="s">
        <v>663</v>
      </c>
      <c r="T8" s="487">
        <v>2011</v>
      </c>
      <c r="U8" s="375" t="s">
        <v>160</v>
      </c>
      <c r="V8" s="291" t="s">
        <v>210</v>
      </c>
    </row>
    <row r="9" spans="1:22">
      <c r="A9" s="291" t="s">
        <v>56</v>
      </c>
      <c r="B9" s="488" t="s">
        <v>876</v>
      </c>
      <c r="C9" s="488"/>
      <c r="D9" s="522"/>
      <c r="E9" s="368">
        <v>80</v>
      </c>
      <c r="F9" s="368" t="s">
        <v>1576</v>
      </c>
      <c r="G9" s="368" t="s">
        <v>151</v>
      </c>
      <c r="H9" s="483" t="s">
        <v>1292</v>
      </c>
      <c r="I9" s="483" t="s">
        <v>1305</v>
      </c>
      <c r="J9" s="483">
        <v>1234991054</v>
      </c>
      <c r="K9" s="368" t="s">
        <v>1187</v>
      </c>
      <c r="L9" s="484">
        <v>36227</v>
      </c>
      <c r="M9" s="371">
        <f t="shared" ca="1" si="0"/>
        <v>27</v>
      </c>
      <c r="N9" s="368"/>
      <c r="O9" s="485">
        <v>3238084211</v>
      </c>
      <c r="P9" s="486" t="s">
        <v>1306</v>
      </c>
      <c r="Q9" s="368" t="s">
        <v>1291</v>
      </c>
      <c r="R9" s="373" t="s">
        <v>164</v>
      </c>
      <c r="S9" s="374" t="s">
        <v>1585</v>
      </c>
      <c r="T9" s="487">
        <v>2005</v>
      </c>
      <c r="U9" s="375" t="s">
        <v>160</v>
      </c>
      <c r="V9" s="291" t="s">
        <v>210</v>
      </c>
    </row>
    <row r="10" spans="1:22">
      <c r="A10" s="291" t="s">
        <v>212</v>
      </c>
      <c r="B10" s="488" t="s">
        <v>891</v>
      </c>
      <c r="C10" s="488"/>
      <c r="D10" s="522"/>
      <c r="E10" s="368">
        <v>80</v>
      </c>
      <c r="F10" s="368" t="s">
        <v>1576</v>
      </c>
      <c r="G10" s="368" t="s">
        <v>151</v>
      </c>
      <c r="H10" s="483" t="s">
        <v>1292</v>
      </c>
      <c r="I10" s="483" t="s">
        <v>1307</v>
      </c>
      <c r="J10" s="483">
        <v>3409814</v>
      </c>
      <c r="K10" s="368" t="s">
        <v>1187</v>
      </c>
      <c r="L10" s="484">
        <v>21417</v>
      </c>
      <c r="M10" s="371">
        <f t="shared" ca="1" si="0"/>
        <v>67</v>
      </c>
      <c r="N10" s="368"/>
      <c r="O10" s="485">
        <v>3122595300</v>
      </c>
      <c r="P10" s="486" t="s">
        <v>1302</v>
      </c>
      <c r="Q10" s="368" t="s">
        <v>1291</v>
      </c>
      <c r="R10" s="373" t="s">
        <v>876</v>
      </c>
      <c r="S10" s="374" t="s">
        <v>663</v>
      </c>
      <c r="T10" s="487">
        <v>2018</v>
      </c>
      <c r="U10" s="375" t="s">
        <v>160</v>
      </c>
      <c r="V10" s="291" t="s">
        <v>210</v>
      </c>
    </row>
    <row r="11" spans="1:22">
      <c r="A11" s="291" t="s">
        <v>73</v>
      </c>
      <c r="B11" s="488" t="s">
        <v>1585</v>
      </c>
      <c r="C11" s="488"/>
      <c r="D11" s="522"/>
      <c r="E11" s="368">
        <v>80</v>
      </c>
      <c r="F11" s="368" t="s">
        <v>1576</v>
      </c>
      <c r="G11" s="368" t="s">
        <v>151</v>
      </c>
      <c r="H11" s="483" t="s">
        <v>1292</v>
      </c>
      <c r="I11" s="483" t="s">
        <v>1308</v>
      </c>
      <c r="J11" s="483">
        <v>1007522640</v>
      </c>
      <c r="K11" s="368" t="s">
        <v>1187</v>
      </c>
      <c r="L11" s="484">
        <v>37624</v>
      </c>
      <c r="M11" s="371">
        <f t="shared" ca="1" si="0"/>
        <v>23</v>
      </c>
      <c r="N11" s="368"/>
      <c r="O11" s="485">
        <v>3135282603</v>
      </c>
      <c r="P11" s="486" t="s">
        <v>1309</v>
      </c>
      <c r="Q11" s="368" t="s">
        <v>1291</v>
      </c>
      <c r="R11" s="373" t="s">
        <v>333</v>
      </c>
      <c r="S11" s="374" t="s">
        <v>663</v>
      </c>
      <c r="T11" s="487">
        <v>2018</v>
      </c>
      <c r="U11" s="375" t="s">
        <v>160</v>
      </c>
      <c r="V11" s="291" t="s">
        <v>210</v>
      </c>
    </row>
    <row r="12" spans="1:22">
      <c r="A12" s="291" t="s">
        <v>272</v>
      </c>
      <c r="D12" s="522"/>
      <c r="E12" s="368">
        <v>80</v>
      </c>
      <c r="F12" s="368" t="s">
        <v>1576</v>
      </c>
      <c r="G12" s="368" t="s">
        <v>151</v>
      </c>
      <c r="H12" s="483" t="s">
        <v>1292</v>
      </c>
      <c r="I12" s="483" t="s">
        <v>1310</v>
      </c>
      <c r="J12" s="483">
        <v>1015198955</v>
      </c>
      <c r="K12" s="368" t="s">
        <v>1191</v>
      </c>
      <c r="L12" s="484">
        <v>38455</v>
      </c>
      <c r="M12" s="371">
        <f t="shared" ca="1" si="0"/>
        <v>21</v>
      </c>
      <c r="N12" s="368"/>
      <c r="O12" s="485">
        <v>3136933400</v>
      </c>
      <c r="P12" s="489" t="s">
        <v>1311</v>
      </c>
      <c r="Q12" s="368" t="s">
        <v>1291</v>
      </c>
      <c r="R12" s="373" t="s">
        <v>333</v>
      </c>
      <c r="S12" s="374" t="s">
        <v>193</v>
      </c>
      <c r="T12" s="487">
        <v>2021</v>
      </c>
      <c r="U12" s="375" t="s">
        <v>160</v>
      </c>
      <c r="V12" s="291" t="s">
        <v>210</v>
      </c>
    </row>
    <row r="13" spans="1:22">
      <c r="A13" s="291" t="s">
        <v>114</v>
      </c>
      <c r="B13" s="490" t="s">
        <v>461</v>
      </c>
      <c r="C13" s="490"/>
      <c r="D13" s="522"/>
      <c r="E13" s="368">
        <v>80</v>
      </c>
      <c r="F13" s="368" t="s">
        <v>1576</v>
      </c>
      <c r="G13" s="368" t="s">
        <v>151</v>
      </c>
      <c r="H13" s="483" t="s">
        <v>1292</v>
      </c>
      <c r="I13" s="483" t="s">
        <v>1312</v>
      </c>
      <c r="J13" s="483">
        <v>1128446012</v>
      </c>
      <c r="K13" s="368" t="s">
        <v>1187</v>
      </c>
      <c r="L13" s="484">
        <v>39062</v>
      </c>
      <c r="M13" s="371">
        <f t="shared" ca="1" si="0"/>
        <v>19</v>
      </c>
      <c r="N13" s="368"/>
      <c r="O13" s="485">
        <v>3003086202</v>
      </c>
      <c r="P13" s="489" t="s">
        <v>1313</v>
      </c>
      <c r="Q13" s="368" t="s">
        <v>1291</v>
      </c>
      <c r="R13" s="373" t="s">
        <v>333</v>
      </c>
      <c r="S13" s="374" t="s">
        <v>193</v>
      </c>
      <c r="T13" s="487">
        <v>2022</v>
      </c>
      <c r="U13" s="375" t="s">
        <v>160</v>
      </c>
      <c r="V13" s="291" t="s">
        <v>210</v>
      </c>
    </row>
    <row r="14" spans="1:22">
      <c r="A14" s="291" t="s">
        <v>1586</v>
      </c>
      <c r="B14" s="490" t="s">
        <v>663</v>
      </c>
      <c r="C14" s="490"/>
      <c r="D14" s="522"/>
      <c r="E14" s="368">
        <v>80</v>
      </c>
      <c r="F14" s="368" t="s">
        <v>1576</v>
      </c>
      <c r="G14" s="368" t="s">
        <v>151</v>
      </c>
      <c r="H14" s="483" t="s">
        <v>1292</v>
      </c>
      <c r="I14" s="483" t="s">
        <v>1314</v>
      </c>
      <c r="J14" s="483">
        <v>1023523427</v>
      </c>
      <c r="K14" s="368" t="s">
        <v>1191</v>
      </c>
      <c r="L14" s="484">
        <v>38480</v>
      </c>
      <c r="M14" s="371">
        <f t="shared" ca="1" si="0"/>
        <v>21</v>
      </c>
      <c r="N14" s="368"/>
      <c r="O14" s="485">
        <v>3243129062</v>
      </c>
      <c r="P14" s="489" t="s">
        <v>1315</v>
      </c>
      <c r="Q14" s="368" t="s">
        <v>1291</v>
      </c>
      <c r="R14" s="373" t="s">
        <v>891</v>
      </c>
      <c r="S14" s="374" t="s">
        <v>193</v>
      </c>
      <c r="T14" s="487">
        <v>2022</v>
      </c>
      <c r="U14" s="375" t="s">
        <v>160</v>
      </c>
      <c r="V14" s="291" t="s">
        <v>210</v>
      </c>
    </row>
    <row r="15" spans="1:22">
      <c r="A15" s="291" t="s">
        <v>227</v>
      </c>
      <c r="B15" s="490" t="s">
        <v>170</v>
      </c>
      <c r="C15" s="490"/>
      <c r="D15" s="522"/>
      <c r="E15" s="368">
        <v>80</v>
      </c>
      <c r="F15" s="368" t="s">
        <v>1576</v>
      </c>
      <c r="G15" s="368" t="s">
        <v>151</v>
      </c>
      <c r="H15" s="483" t="s">
        <v>1292</v>
      </c>
      <c r="I15" s="483" t="s">
        <v>1316</v>
      </c>
      <c r="J15" s="483">
        <v>21515888</v>
      </c>
      <c r="K15" s="368" t="s">
        <v>1191</v>
      </c>
      <c r="L15" s="484">
        <v>25681</v>
      </c>
      <c r="M15" s="371">
        <f t="shared" ca="1" si="0"/>
        <v>56</v>
      </c>
      <c r="N15" s="368"/>
      <c r="O15" s="485">
        <v>3028483739</v>
      </c>
      <c r="P15" s="489" t="s">
        <v>1317</v>
      </c>
      <c r="Q15" s="368" t="s">
        <v>1291</v>
      </c>
      <c r="R15" s="373" t="s">
        <v>164</v>
      </c>
      <c r="S15" s="374" t="s">
        <v>1585</v>
      </c>
      <c r="T15" s="487">
        <v>2005</v>
      </c>
      <c r="U15" s="375" t="s">
        <v>160</v>
      </c>
      <c r="V15" s="291" t="s">
        <v>210</v>
      </c>
    </row>
    <row r="16" spans="1:22">
      <c r="A16" s="291" t="s">
        <v>1587</v>
      </c>
      <c r="B16" s="490" t="s">
        <v>193</v>
      </c>
      <c r="C16" s="490"/>
      <c r="D16" s="918" t="s">
        <v>2290</v>
      </c>
      <c r="E16" s="758">
        <v>80</v>
      </c>
      <c r="F16" s="758" t="s">
        <v>1576</v>
      </c>
      <c r="G16" s="758" t="s">
        <v>151</v>
      </c>
      <c r="H16" s="919" t="s">
        <v>1318</v>
      </c>
      <c r="I16" s="919" t="s">
        <v>1331</v>
      </c>
      <c r="J16" s="919">
        <v>1128450550</v>
      </c>
      <c r="K16" s="758" t="s">
        <v>1191</v>
      </c>
      <c r="L16" s="867">
        <v>32394</v>
      </c>
      <c r="M16" s="860">
        <f t="shared" ca="1" si="0"/>
        <v>37</v>
      </c>
      <c r="N16" s="758" t="s">
        <v>56</v>
      </c>
      <c r="O16" s="920">
        <v>3103610018</v>
      </c>
      <c r="P16" s="923" t="s">
        <v>1332</v>
      </c>
      <c r="Q16" s="758" t="s">
        <v>1291</v>
      </c>
      <c r="R16" s="862" t="s">
        <v>333</v>
      </c>
      <c r="S16" s="863" t="s">
        <v>193</v>
      </c>
      <c r="T16" s="922">
        <v>2003</v>
      </c>
      <c r="U16" s="864" t="s">
        <v>166</v>
      </c>
      <c r="V16" s="869" t="s">
        <v>210</v>
      </c>
    </row>
    <row r="17" spans="1:22">
      <c r="A17" s="291" t="s">
        <v>1588</v>
      </c>
      <c r="B17" s="490" t="s">
        <v>1881</v>
      </c>
      <c r="C17" s="490"/>
      <c r="D17" s="522"/>
      <c r="E17" s="377">
        <v>80</v>
      </c>
      <c r="F17" s="377" t="s">
        <v>1576</v>
      </c>
      <c r="G17" s="377" t="s">
        <v>151</v>
      </c>
      <c r="H17" s="491" t="s">
        <v>1318</v>
      </c>
      <c r="I17" s="491" t="s">
        <v>1319</v>
      </c>
      <c r="J17" s="491">
        <v>43586159</v>
      </c>
      <c r="K17" s="377" t="s">
        <v>1191</v>
      </c>
      <c r="L17" s="492">
        <v>27253</v>
      </c>
      <c r="M17" s="380">
        <f t="shared" ca="1" si="0"/>
        <v>51</v>
      </c>
      <c r="N17" s="377" t="s">
        <v>56</v>
      </c>
      <c r="O17" s="493">
        <v>3006742409</v>
      </c>
      <c r="P17" s="495" t="s">
        <v>1320</v>
      </c>
      <c r="Q17" s="377" t="s">
        <v>1291</v>
      </c>
      <c r="R17" s="381" t="s">
        <v>321</v>
      </c>
      <c r="S17" s="382" t="s">
        <v>663</v>
      </c>
      <c r="T17" s="494">
        <v>2016</v>
      </c>
      <c r="U17" s="383" t="s">
        <v>160</v>
      </c>
      <c r="V17" s="291" t="s">
        <v>210</v>
      </c>
    </row>
    <row r="18" spans="1:22">
      <c r="B18" s="490" t="s">
        <v>1882</v>
      </c>
      <c r="C18" s="490"/>
      <c r="D18" s="522"/>
      <c r="E18" s="377">
        <v>80</v>
      </c>
      <c r="F18" s="377" t="s">
        <v>1576</v>
      </c>
      <c r="G18" s="377" t="s">
        <v>151</v>
      </c>
      <c r="H18" s="491" t="s">
        <v>1318</v>
      </c>
      <c r="I18" s="491" t="s">
        <v>1321</v>
      </c>
      <c r="J18" s="491">
        <v>1033178098</v>
      </c>
      <c r="K18" s="377" t="s">
        <v>1191</v>
      </c>
      <c r="L18" s="492">
        <v>38485</v>
      </c>
      <c r="M18" s="380">
        <f t="shared" ca="1" si="0"/>
        <v>21</v>
      </c>
      <c r="N18" s="377" t="s">
        <v>56</v>
      </c>
      <c r="O18" s="493">
        <v>3046723716</v>
      </c>
      <c r="P18" s="495" t="s">
        <v>1322</v>
      </c>
      <c r="Q18" s="377" t="s">
        <v>1291</v>
      </c>
      <c r="R18" s="381" t="s">
        <v>192</v>
      </c>
      <c r="S18" s="382" t="s">
        <v>663</v>
      </c>
      <c r="T18" s="494">
        <v>2019</v>
      </c>
      <c r="U18" s="383" t="s">
        <v>160</v>
      </c>
      <c r="V18" s="291" t="s">
        <v>210</v>
      </c>
    </row>
    <row r="19" spans="1:22">
      <c r="A19" s="291" t="s">
        <v>160</v>
      </c>
      <c r="B19" s="490" t="s">
        <v>405</v>
      </c>
      <c r="C19" s="490"/>
      <c r="D19" s="522"/>
      <c r="E19" s="377">
        <v>80</v>
      </c>
      <c r="F19" s="377" t="s">
        <v>1576</v>
      </c>
      <c r="G19" s="377" t="s">
        <v>151</v>
      </c>
      <c r="H19" s="491" t="s">
        <v>1318</v>
      </c>
      <c r="I19" s="491" t="s">
        <v>1323</v>
      </c>
      <c r="J19" s="491">
        <v>43163703</v>
      </c>
      <c r="K19" s="377" t="s">
        <v>1191</v>
      </c>
      <c r="L19" s="492">
        <v>29266</v>
      </c>
      <c r="M19" s="380">
        <f t="shared" ca="1" si="0"/>
        <v>46</v>
      </c>
      <c r="N19" s="377" t="s">
        <v>56</v>
      </c>
      <c r="O19" s="493">
        <v>3015139971</v>
      </c>
      <c r="P19" s="495" t="s">
        <v>1324</v>
      </c>
      <c r="Q19" s="377" t="s">
        <v>1291</v>
      </c>
      <c r="R19" s="381" t="s">
        <v>164</v>
      </c>
      <c r="S19" s="382" t="s">
        <v>230</v>
      </c>
      <c r="T19" s="494">
        <v>2010</v>
      </c>
      <c r="U19" s="383" t="s">
        <v>160</v>
      </c>
      <c r="V19" s="291" t="s">
        <v>210</v>
      </c>
    </row>
    <row r="20" spans="1:22">
      <c r="A20" s="291" t="s">
        <v>166</v>
      </c>
      <c r="B20" s="490" t="s">
        <v>1883</v>
      </c>
      <c r="C20" s="490"/>
      <c r="D20" s="522"/>
      <c r="E20" s="377">
        <v>80</v>
      </c>
      <c r="F20" s="377" t="s">
        <v>1576</v>
      </c>
      <c r="G20" s="377" t="s">
        <v>151</v>
      </c>
      <c r="H20" s="491" t="s">
        <v>1318</v>
      </c>
      <c r="I20" s="491" t="s">
        <v>1325</v>
      </c>
      <c r="J20" s="491">
        <v>1001137210</v>
      </c>
      <c r="K20" s="377" t="s">
        <v>1191</v>
      </c>
      <c r="L20" s="492">
        <v>36631</v>
      </c>
      <c r="M20" s="380">
        <f t="shared" ca="1" si="0"/>
        <v>26</v>
      </c>
      <c r="N20" s="377"/>
      <c r="O20" s="493">
        <v>3043446857</v>
      </c>
      <c r="P20" s="495" t="s">
        <v>1326</v>
      </c>
      <c r="Q20" s="377" t="s">
        <v>1291</v>
      </c>
      <c r="R20" s="381" t="s">
        <v>192</v>
      </c>
      <c r="S20" s="382" t="s">
        <v>663</v>
      </c>
      <c r="T20" s="494">
        <v>2022</v>
      </c>
      <c r="U20" s="383" t="s">
        <v>160</v>
      </c>
      <c r="V20" s="291" t="s">
        <v>210</v>
      </c>
    </row>
    <row r="21" spans="1:22">
      <c r="B21" s="490" t="s">
        <v>230</v>
      </c>
      <c r="C21" s="490"/>
      <c r="D21" s="522"/>
      <c r="E21" s="377">
        <v>80</v>
      </c>
      <c r="F21" s="377" t="s">
        <v>1576</v>
      </c>
      <c r="G21" s="377" t="s">
        <v>151</v>
      </c>
      <c r="H21" s="491" t="s">
        <v>1318</v>
      </c>
      <c r="I21" s="491" t="s">
        <v>1327</v>
      </c>
      <c r="J21" s="491">
        <v>1128450550</v>
      </c>
      <c r="K21" s="377" t="s">
        <v>1187</v>
      </c>
      <c r="L21" s="492">
        <v>17414</v>
      </c>
      <c r="M21" s="380">
        <f t="shared" ca="1" si="0"/>
        <v>78</v>
      </c>
      <c r="N21" s="377" t="s">
        <v>73</v>
      </c>
      <c r="O21" s="493">
        <v>3015048802</v>
      </c>
      <c r="P21" s="496"/>
      <c r="Q21" s="377" t="s">
        <v>1291</v>
      </c>
      <c r="R21" s="381" t="s">
        <v>333</v>
      </c>
      <c r="S21" s="382" t="s">
        <v>461</v>
      </c>
      <c r="T21" s="494">
        <v>2023</v>
      </c>
      <c r="U21" s="383" t="s">
        <v>160</v>
      </c>
      <c r="V21" s="291" t="s">
        <v>210</v>
      </c>
    </row>
    <row r="22" spans="1:22">
      <c r="A22" s="291" t="s">
        <v>1842</v>
      </c>
      <c r="B22" s="490" t="s">
        <v>1884</v>
      </c>
      <c r="C22" s="490"/>
      <c r="D22" s="522"/>
      <c r="E22" s="377">
        <v>80</v>
      </c>
      <c r="F22" s="377" t="s">
        <v>1576</v>
      </c>
      <c r="G22" s="377" t="s">
        <v>151</v>
      </c>
      <c r="H22" s="491" t="s">
        <v>1318</v>
      </c>
      <c r="I22" s="491" t="s">
        <v>1328</v>
      </c>
      <c r="J22" s="491">
        <v>1234989114</v>
      </c>
      <c r="K22" s="377" t="s">
        <v>1187</v>
      </c>
      <c r="L22" s="492">
        <v>35847</v>
      </c>
      <c r="M22" s="380">
        <f t="shared" ca="1" si="0"/>
        <v>28</v>
      </c>
      <c r="N22" s="377" t="s">
        <v>56</v>
      </c>
      <c r="O22" s="493">
        <v>3128397026</v>
      </c>
      <c r="P22" s="497" t="s">
        <v>1329</v>
      </c>
      <c r="Q22" s="377" t="s">
        <v>1291</v>
      </c>
      <c r="R22" s="381" t="s">
        <v>333</v>
      </c>
      <c r="S22" s="382" t="s">
        <v>230</v>
      </c>
      <c r="T22" s="494">
        <v>1999</v>
      </c>
      <c r="U22" s="383" t="s">
        <v>160</v>
      </c>
      <c r="V22" s="291" t="s">
        <v>210</v>
      </c>
    </row>
    <row r="23" spans="1:22">
      <c r="A23" s="291" t="s">
        <v>1843</v>
      </c>
      <c r="B23" s="490" t="s">
        <v>1885</v>
      </c>
      <c r="C23" s="490"/>
      <c r="D23" s="522"/>
      <c r="E23" s="377">
        <v>80</v>
      </c>
      <c r="F23" s="377" t="s">
        <v>1576</v>
      </c>
      <c r="G23" s="377" t="s">
        <v>151</v>
      </c>
      <c r="H23" s="491" t="s">
        <v>1318</v>
      </c>
      <c r="I23" s="491" t="s">
        <v>1330</v>
      </c>
      <c r="J23" s="491">
        <v>1234989340</v>
      </c>
      <c r="K23" s="377" t="s">
        <v>1191</v>
      </c>
      <c r="L23" s="492">
        <v>35936</v>
      </c>
      <c r="M23" s="380">
        <f t="shared" ca="1" si="0"/>
        <v>27</v>
      </c>
      <c r="N23" s="377" t="s">
        <v>73</v>
      </c>
      <c r="O23" s="493">
        <v>3206859493</v>
      </c>
      <c r="P23" s="495"/>
      <c r="Q23" s="377" t="s">
        <v>1291</v>
      </c>
      <c r="R23" s="381" t="s">
        <v>333</v>
      </c>
      <c r="S23" s="382" t="s">
        <v>230</v>
      </c>
      <c r="T23" s="494">
        <v>2022</v>
      </c>
      <c r="U23" s="383" t="s">
        <v>160</v>
      </c>
      <c r="V23" s="291" t="s">
        <v>210</v>
      </c>
    </row>
    <row r="24" spans="1:22">
      <c r="A24" s="291" t="s">
        <v>1387</v>
      </c>
      <c r="B24" s="490" t="s">
        <v>1886</v>
      </c>
      <c r="C24" s="490"/>
      <c r="D24" s="918" t="s">
        <v>2290</v>
      </c>
      <c r="E24" s="758">
        <v>80</v>
      </c>
      <c r="F24" s="758" t="s">
        <v>1576</v>
      </c>
      <c r="G24" s="758" t="s">
        <v>151</v>
      </c>
      <c r="H24" s="919" t="s">
        <v>1333</v>
      </c>
      <c r="I24" s="919" t="s">
        <v>1334</v>
      </c>
      <c r="J24" s="919">
        <v>70513997</v>
      </c>
      <c r="K24" s="758" t="s">
        <v>1187</v>
      </c>
      <c r="L24" s="867">
        <v>22949</v>
      </c>
      <c r="M24" s="860">
        <f t="shared" ca="1" si="0"/>
        <v>63</v>
      </c>
      <c r="N24" s="758" t="s">
        <v>73</v>
      </c>
      <c r="O24" s="924">
        <v>3137976716</v>
      </c>
      <c r="P24" s="925" t="s">
        <v>1951</v>
      </c>
      <c r="Q24" s="758" t="s">
        <v>1291</v>
      </c>
      <c r="R24" s="862" t="s">
        <v>333</v>
      </c>
      <c r="S24" s="863" t="s">
        <v>461</v>
      </c>
      <c r="T24" s="922">
        <v>2023</v>
      </c>
      <c r="U24" s="864" t="s">
        <v>166</v>
      </c>
      <c r="V24" s="869" t="s">
        <v>210</v>
      </c>
    </row>
    <row r="25" spans="1:22">
      <c r="A25" s="291" t="s">
        <v>1844</v>
      </c>
      <c r="B25" s="490" t="s">
        <v>1887</v>
      </c>
      <c r="C25" s="490"/>
      <c r="D25" s="522"/>
      <c r="E25" s="386">
        <v>80</v>
      </c>
      <c r="F25" s="386" t="s">
        <v>1576</v>
      </c>
      <c r="G25" s="386" t="s">
        <v>151</v>
      </c>
      <c r="H25" s="498" t="s">
        <v>1333</v>
      </c>
      <c r="I25" s="498" t="s">
        <v>1335</v>
      </c>
      <c r="J25" s="498">
        <v>14550051</v>
      </c>
      <c r="K25" s="386" t="s">
        <v>1187</v>
      </c>
      <c r="L25" s="499">
        <v>20246</v>
      </c>
      <c r="M25" s="389">
        <f t="shared" ca="1" si="0"/>
        <v>70</v>
      </c>
      <c r="N25" s="386" t="s">
        <v>73</v>
      </c>
      <c r="O25" s="500">
        <v>3043388521</v>
      </c>
      <c r="P25" s="501" t="s">
        <v>1952</v>
      </c>
      <c r="Q25" s="386" t="s">
        <v>1291</v>
      </c>
      <c r="R25" s="391" t="s">
        <v>321</v>
      </c>
      <c r="S25" s="392" t="s">
        <v>663</v>
      </c>
      <c r="T25" s="502">
        <v>2023</v>
      </c>
      <c r="U25" s="393" t="s">
        <v>160</v>
      </c>
      <c r="V25" s="291" t="s">
        <v>210</v>
      </c>
    </row>
    <row r="26" spans="1:22">
      <c r="A26" s="291" t="s">
        <v>1845</v>
      </c>
      <c r="B26" s="490" t="s">
        <v>1888</v>
      </c>
      <c r="C26" s="490"/>
      <c r="D26" s="522"/>
      <c r="E26" s="386">
        <v>80</v>
      </c>
      <c r="F26" s="386" t="s">
        <v>1576</v>
      </c>
      <c r="G26" s="386" t="s">
        <v>151</v>
      </c>
      <c r="H26" s="498" t="s">
        <v>1333</v>
      </c>
      <c r="I26" s="498" t="s">
        <v>1949</v>
      </c>
      <c r="J26" s="498">
        <v>39168445</v>
      </c>
      <c r="K26" s="386" t="s">
        <v>1191</v>
      </c>
      <c r="L26" s="499"/>
      <c r="M26" s="389"/>
      <c r="N26" s="386" t="s">
        <v>56</v>
      </c>
      <c r="O26" s="500">
        <v>3116860994</v>
      </c>
      <c r="P26" s="501" t="s">
        <v>1953</v>
      </c>
      <c r="Q26" s="386" t="s">
        <v>1291</v>
      </c>
      <c r="R26" s="391" t="s">
        <v>321</v>
      </c>
      <c r="S26" s="392"/>
      <c r="T26" s="502">
        <v>2024</v>
      </c>
      <c r="U26" s="393" t="s">
        <v>160</v>
      </c>
      <c r="V26" s="291" t="s">
        <v>210</v>
      </c>
    </row>
    <row r="27" spans="1:22">
      <c r="A27" s="291" t="s">
        <v>1291</v>
      </c>
      <c r="B27" s="490" t="s">
        <v>1889</v>
      </c>
      <c r="C27" s="490"/>
      <c r="D27" s="522"/>
      <c r="E27" s="386">
        <v>80</v>
      </c>
      <c r="F27" s="386" t="s">
        <v>1576</v>
      </c>
      <c r="G27" s="386" t="s">
        <v>151</v>
      </c>
      <c r="H27" s="498" t="s">
        <v>1333</v>
      </c>
      <c r="I27" s="498" t="s">
        <v>1336</v>
      </c>
      <c r="J27" s="498">
        <v>98594696</v>
      </c>
      <c r="K27" s="386" t="s">
        <v>1187</v>
      </c>
      <c r="L27" s="499"/>
      <c r="M27" s="389"/>
      <c r="N27" s="386" t="s">
        <v>73</v>
      </c>
      <c r="O27" s="500">
        <v>3103946447</v>
      </c>
      <c r="P27" s="501" t="s">
        <v>1954</v>
      </c>
      <c r="Q27" s="386" t="s">
        <v>1291</v>
      </c>
      <c r="R27" s="391" t="s">
        <v>321</v>
      </c>
      <c r="S27" s="392"/>
      <c r="T27" s="502">
        <v>2023</v>
      </c>
      <c r="U27" s="393" t="s">
        <v>160</v>
      </c>
      <c r="V27" s="291" t="s">
        <v>210</v>
      </c>
    </row>
    <row r="28" spans="1:22">
      <c r="A28" s="291" t="s">
        <v>1846</v>
      </c>
      <c r="B28" s="490" t="s">
        <v>1890</v>
      </c>
      <c r="C28" s="490"/>
      <c r="D28" s="522"/>
      <c r="E28" s="386">
        <v>80</v>
      </c>
      <c r="F28" s="386" t="s">
        <v>1576</v>
      </c>
      <c r="G28" s="386" t="s">
        <v>151</v>
      </c>
      <c r="H28" s="498" t="s">
        <v>1333</v>
      </c>
      <c r="I28" s="498" t="s">
        <v>1337</v>
      </c>
      <c r="J28" s="498">
        <v>42772529</v>
      </c>
      <c r="K28" s="386" t="s">
        <v>1191</v>
      </c>
      <c r="L28" s="499">
        <v>24470</v>
      </c>
      <c r="M28" s="389">
        <f t="shared" ca="1" si="0"/>
        <v>59</v>
      </c>
      <c r="N28" s="386" t="s">
        <v>73</v>
      </c>
      <c r="O28" s="500">
        <v>3018007050</v>
      </c>
      <c r="P28" s="501" t="s">
        <v>1955</v>
      </c>
      <c r="Q28" s="386" t="s">
        <v>1291</v>
      </c>
      <c r="R28" s="391" t="s">
        <v>321</v>
      </c>
      <c r="S28" s="392" t="s">
        <v>663</v>
      </c>
      <c r="T28" s="502">
        <v>2023</v>
      </c>
      <c r="U28" s="393" t="s">
        <v>160</v>
      </c>
      <c r="V28" s="291" t="s">
        <v>210</v>
      </c>
    </row>
    <row r="29" spans="1:22">
      <c r="A29" s="291" t="s">
        <v>1782</v>
      </c>
      <c r="B29" s="490" t="s">
        <v>1891</v>
      </c>
      <c r="C29" s="490"/>
      <c r="D29" s="918" t="s">
        <v>2290</v>
      </c>
      <c r="E29" s="758">
        <v>80</v>
      </c>
      <c r="F29" s="758" t="s">
        <v>1576</v>
      </c>
      <c r="G29" s="758" t="s">
        <v>151</v>
      </c>
      <c r="H29" s="919" t="s">
        <v>1338</v>
      </c>
      <c r="I29" s="919" t="s">
        <v>1339</v>
      </c>
      <c r="J29" s="919">
        <v>43839339</v>
      </c>
      <c r="K29" s="758" t="s">
        <v>1191</v>
      </c>
      <c r="L29" s="867">
        <v>28536</v>
      </c>
      <c r="M29" s="860">
        <f t="shared" ca="1" si="0"/>
        <v>48</v>
      </c>
      <c r="N29" s="758" t="s">
        <v>73</v>
      </c>
      <c r="O29" s="924">
        <v>3225191727</v>
      </c>
      <c r="P29" s="925" t="s">
        <v>1956</v>
      </c>
      <c r="Q29" s="758" t="s">
        <v>1291</v>
      </c>
      <c r="R29" s="862" t="s">
        <v>164</v>
      </c>
      <c r="S29" s="863" t="s">
        <v>663</v>
      </c>
      <c r="T29" s="922">
        <v>2023</v>
      </c>
      <c r="U29" s="864" t="s">
        <v>166</v>
      </c>
      <c r="V29" s="869" t="s">
        <v>210</v>
      </c>
    </row>
    <row r="30" spans="1:22">
      <c r="A30" s="291" t="s">
        <v>1847</v>
      </c>
      <c r="B30" s="490" t="s">
        <v>1892</v>
      </c>
      <c r="C30" s="490"/>
      <c r="D30" s="522"/>
      <c r="E30" s="394">
        <v>80</v>
      </c>
      <c r="F30" s="394" t="s">
        <v>1576</v>
      </c>
      <c r="G30" s="394" t="s">
        <v>151</v>
      </c>
      <c r="H30" s="503" t="s">
        <v>1338</v>
      </c>
      <c r="I30" s="503" t="s">
        <v>1340</v>
      </c>
      <c r="J30" s="503">
        <v>42787770</v>
      </c>
      <c r="K30" s="394" t="s">
        <v>1191</v>
      </c>
      <c r="L30" s="504">
        <v>26103</v>
      </c>
      <c r="M30" s="397">
        <f t="shared" ca="1" si="0"/>
        <v>54</v>
      </c>
      <c r="N30" s="394" t="s">
        <v>56</v>
      </c>
      <c r="O30" s="505">
        <v>3122049802</v>
      </c>
      <c r="P30" s="506" t="s">
        <v>1957</v>
      </c>
      <c r="Q30" s="394" t="s">
        <v>1291</v>
      </c>
      <c r="R30" s="399" t="s">
        <v>164</v>
      </c>
      <c r="S30" s="400" t="s">
        <v>461</v>
      </c>
      <c r="T30" s="507">
        <v>2023</v>
      </c>
      <c r="U30" s="401" t="s">
        <v>160</v>
      </c>
      <c r="V30" s="291" t="s">
        <v>210</v>
      </c>
    </row>
    <row r="31" spans="1:22">
      <c r="A31" s="291" t="s">
        <v>1848</v>
      </c>
      <c r="B31" s="490" t="s">
        <v>1893</v>
      </c>
      <c r="C31" s="490"/>
      <c r="D31" s="522"/>
      <c r="E31" s="394">
        <v>80</v>
      </c>
      <c r="F31" s="394" t="s">
        <v>1576</v>
      </c>
      <c r="G31" s="394" t="s">
        <v>151</v>
      </c>
      <c r="H31" s="503" t="s">
        <v>1338</v>
      </c>
      <c r="I31" s="503" t="s">
        <v>1341</v>
      </c>
      <c r="J31" s="503">
        <v>43629204</v>
      </c>
      <c r="K31" s="394" t="s">
        <v>1191</v>
      </c>
      <c r="L31" s="504">
        <v>27595</v>
      </c>
      <c r="M31" s="397">
        <f t="shared" ca="1" si="0"/>
        <v>50</v>
      </c>
      <c r="N31" s="394" t="s">
        <v>114</v>
      </c>
      <c r="O31" s="505">
        <v>3117969685</v>
      </c>
      <c r="P31" s="506" t="s">
        <v>1958</v>
      </c>
      <c r="Q31" s="394" t="s">
        <v>1291</v>
      </c>
      <c r="R31" s="399" t="s">
        <v>891</v>
      </c>
      <c r="S31" s="400" t="s">
        <v>230</v>
      </c>
      <c r="T31" s="507">
        <v>2023</v>
      </c>
      <c r="U31" s="401" t="s">
        <v>160</v>
      </c>
      <c r="V31" s="291" t="s">
        <v>210</v>
      </c>
    </row>
    <row r="32" spans="1:22">
      <c r="B32" s="490" t="s">
        <v>1894</v>
      </c>
      <c r="C32" s="490"/>
      <c r="D32" s="522"/>
      <c r="E32" s="394">
        <v>80</v>
      </c>
      <c r="F32" s="394" t="s">
        <v>1576</v>
      </c>
      <c r="G32" s="394" t="s">
        <v>151</v>
      </c>
      <c r="H32" s="503" t="s">
        <v>1338</v>
      </c>
      <c r="I32" s="503" t="s">
        <v>1342</v>
      </c>
      <c r="J32" s="503">
        <v>43103225</v>
      </c>
      <c r="K32" s="394" t="s">
        <v>1191</v>
      </c>
      <c r="L32" s="504">
        <v>28308</v>
      </c>
      <c r="M32" s="397">
        <f t="shared" ca="1" si="0"/>
        <v>48</v>
      </c>
      <c r="N32" s="394" t="s">
        <v>114</v>
      </c>
      <c r="O32" s="505">
        <v>3117023620</v>
      </c>
      <c r="P32" s="506" t="s">
        <v>1959</v>
      </c>
      <c r="Q32" s="394" t="s">
        <v>1291</v>
      </c>
      <c r="R32" s="399" t="s">
        <v>891</v>
      </c>
      <c r="S32" s="400" t="s">
        <v>230</v>
      </c>
      <c r="T32" s="507">
        <v>2023</v>
      </c>
      <c r="U32" s="401" t="s">
        <v>160</v>
      </c>
      <c r="V32" s="291" t="s">
        <v>210</v>
      </c>
    </row>
    <row r="33" spans="2:22">
      <c r="B33" s="490" t="s">
        <v>1895</v>
      </c>
      <c r="C33" s="490"/>
      <c r="D33" s="522"/>
      <c r="E33" s="394">
        <v>80</v>
      </c>
      <c r="F33" s="394" t="s">
        <v>1576</v>
      </c>
      <c r="G33" s="394" t="s">
        <v>151</v>
      </c>
      <c r="H33" s="503" t="s">
        <v>1338</v>
      </c>
      <c r="I33" s="503" t="s">
        <v>1343</v>
      </c>
      <c r="J33" s="503">
        <v>42773430</v>
      </c>
      <c r="K33" s="394" t="s">
        <v>1191</v>
      </c>
      <c r="L33" s="504">
        <v>24648</v>
      </c>
      <c r="M33" s="397">
        <f t="shared" ca="1" si="0"/>
        <v>58</v>
      </c>
      <c r="N33" s="394" t="s">
        <v>73</v>
      </c>
      <c r="O33" s="508">
        <v>3226380976</v>
      </c>
      <c r="P33" s="506" t="s">
        <v>1960</v>
      </c>
      <c r="Q33" s="394" t="s">
        <v>1291</v>
      </c>
      <c r="R33" s="399" t="s">
        <v>876</v>
      </c>
      <c r="S33" s="400" t="s">
        <v>461</v>
      </c>
      <c r="T33" s="507">
        <v>2023</v>
      </c>
      <c r="U33" s="401" t="s">
        <v>160</v>
      </c>
      <c r="V33" s="291" t="s">
        <v>210</v>
      </c>
    </row>
    <row r="34" spans="2:22">
      <c r="B34" s="490" t="s">
        <v>1896</v>
      </c>
      <c r="C34" s="490"/>
      <c r="D34" s="918" t="s">
        <v>2290</v>
      </c>
      <c r="E34" s="758">
        <v>80</v>
      </c>
      <c r="F34" s="758" t="s">
        <v>1576</v>
      </c>
      <c r="G34" s="758" t="s">
        <v>151</v>
      </c>
      <c r="H34" s="919" t="s">
        <v>1344</v>
      </c>
      <c r="I34" s="919" t="s">
        <v>1946</v>
      </c>
      <c r="J34" s="919">
        <v>43686535</v>
      </c>
      <c r="K34" s="758" t="s">
        <v>1191</v>
      </c>
      <c r="L34" s="867">
        <v>27326</v>
      </c>
      <c r="M34" s="860">
        <f t="shared" ca="1" si="0"/>
        <v>51</v>
      </c>
      <c r="N34" s="758"/>
      <c r="O34" s="924">
        <v>3206192983</v>
      </c>
      <c r="P34" s="921" t="s">
        <v>1961</v>
      </c>
      <c r="Q34" s="758" t="s">
        <v>1291</v>
      </c>
      <c r="R34" s="862" t="s">
        <v>333</v>
      </c>
      <c r="S34" s="863" t="s">
        <v>663</v>
      </c>
      <c r="T34" s="922">
        <v>2023</v>
      </c>
      <c r="U34" s="864" t="s">
        <v>166</v>
      </c>
      <c r="V34" s="869" t="s">
        <v>210</v>
      </c>
    </row>
    <row r="35" spans="2:22">
      <c r="B35" s="510" t="s">
        <v>1899</v>
      </c>
      <c r="C35" s="510"/>
      <c r="D35" s="522"/>
      <c r="E35" s="368">
        <v>80</v>
      </c>
      <c r="F35" s="368" t="s">
        <v>1576</v>
      </c>
      <c r="G35" s="368" t="s">
        <v>151</v>
      </c>
      <c r="H35" s="483" t="s">
        <v>1344</v>
      </c>
      <c r="I35" s="483" t="s">
        <v>1947</v>
      </c>
      <c r="J35" s="483">
        <v>32516002</v>
      </c>
      <c r="K35" s="368" t="s">
        <v>1191</v>
      </c>
      <c r="L35" s="484">
        <v>19857</v>
      </c>
      <c r="M35" s="371">
        <f t="shared" ca="1" si="0"/>
        <v>72</v>
      </c>
      <c r="N35" s="368"/>
      <c r="O35" s="509">
        <v>3332853564</v>
      </c>
      <c r="P35" s="489" t="s">
        <v>1962</v>
      </c>
      <c r="Q35" s="368" t="s">
        <v>1291</v>
      </c>
      <c r="R35" s="373" t="s">
        <v>1585</v>
      </c>
      <c r="S35" s="374" t="s">
        <v>663</v>
      </c>
      <c r="T35" s="487">
        <v>2023</v>
      </c>
      <c r="U35" s="375" t="s">
        <v>160</v>
      </c>
      <c r="V35" s="291" t="s">
        <v>210</v>
      </c>
    </row>
    <row r="36" spans="2:22">
      <c r="B36" s="510" t="s">
        <v>1900</v>
      </c>
      <c r="C36" s="510"/>
      <c r="D36" s="522"/>
      <c r="E36" s="368">
        <v>80</v>
      </c>
      <c r="F36" s="368" t="s">
        <v>1576</v>
      </c>
      <c r="G36" s="368" t="s">
        <v>151</v>
      </c>
      <c r="H36" s="483" t="s">
        <v>1344</v>
      </c>
      <c r="I36" s="483" t="s">
        <v>1355</v>
      </c>
      <c r="J36" s="483">
        <v>98529966</v>
      </c>
      <c r="K36" s="368" t="s">
        <v>1187</v>
      </c>
      <c r="L36" s="484">
        <v>25707</v>
      </c>
      <c r="M36" s="371">
        <f t="shared" ca="1" si="0"/>
        <v>56</v>
      </c>
      <c r="N36" s="368" t="s">
        <v>227</v>
      </c>
      <c r="O36" s="509">
        <v>3218303244</v>
      </c>
      <c r="P36" s="489" t="s">
        <v>1356</v>
      </c>
      <c r="Q36" s="368" t="s">
        <v>1291</v>
      </c>
      <c r="R36" s="373" t="s">
        <v>333</v>
      </c>
      <c r="S36" s="374" t="s">
        <v>193</v>
      </c>
      <c r="T36" s="487">
        <v>2023</v>
      </c>
      <c r="U36" s="375" t="s">
        <v>160</v>
      </c>
      <c r="V36" s="291" t="s">
        <v>210</v>
      </c>
    </row>
    <row r="37" spans="2:22">
      <c r="B37" s="488" t="s">
        <v>1898</v>
      </c>
      <c r="C37" s="488"/>
      <c r="D37" s="522"/>
      <c r="E37" s="368">
        <v>80</v>
      </c>
      <c r="F37" s="368" t="s">
        <v>1576</v>
      </c>
      <c r="G37" s="368" t="s">
        <v>151</v>
      </c>
      <c r="H37" s="483" t="s">
        <v>1344</v>
      </c>
      <c r="I37" s="483" t="s">
        <v>1948</v>
      </c>
      <c r="J37" s="483">
        <v>25096840</v>
      </c>
      <c r="K37" s="368" t="s">
        <v>1191</v>
      </c>
      <c r="L37" s="484">
        <v>20100</v>
      </c>
      <c r="M37" s="371">
        <f t="shared" ca="1" si="0"/>
        <v>71</v>
      </c>
      <c r="N37" s="368"/>
      <c r="O37" s="509">
        <v>3216216605</v>
      </c>
      <c r="P37" s="489" t="s">
        <v>1963</v>
      </c>
      <c r="Q37" s="368" t="s">
        <v>1291</v>
      </c>
      <c r="R37" s="373" t="s">
        <v>321</v>
      </c>
      <c r="S37" s="374" t="s">
        <v>193</v>
      </c>
      <c r="T37" s="487">
        <v>2023</v>
      </c>
      <c r="U37" s="375" t="s">
        <v>160</v>
      </c>
      <c r="V37" s="291" t="s">
        <v>210</v>
      </c>
    </row>
    <row r="38" spans="2:22">
      <c r="B38" s="291" t="s">
        <v>218</v>
      </c>
      <c r="D38" s="522"/>
      <c r="E38" s="368">
        <v>80</v>
      </c>
      <c r="F38" s="368" t="s">
        <v>1576</v>
      </c>
      <c r="G38" s="368" t="s">
        <v>151</v>
      </c>
      <c r="H38" s="483" t="s">
        <v>1344</v>
      </c>
      <c r="I38" s="483" t="s">
        <v>1345</v>
      </c>
      <c r="J38" s="483">
        <v>70780829</v>
      </c>
      <c r="K38" s="368" t="s">
        <v>1187</v>
      </c>
      <c r="L38" s="484">
        <v>22108</v>
      </c>
      <c r="M38" s="371">
        <f t="shared" ca="1" si="0"/>
        <v>65</v>
      </c>
      <c r="N38" s="368" t="s">
        <v>73</v>
      </c>
      <c r="O38" s="509">
        <v>3207447658</v>
      </c>
      <c r="P38" s="489" t="s">
        <v>1346</v>
      </c>
      <c r="Q38" s="368" t="s">
        <v>1291</v>
      </c>
      <c r="R38" s="373" t="s">
        <v>876</v>
      </c>
      <c r="S38" s="374" t="s">
        <v>461</v>
      </c>
      <c r="T38" s="487">
        <v>2023</v>
      </c>
      <c r="U38" s="375" t="s">
        <v>160</v>
      </c>
      <c r="V38" s="291" t="s">
        <v>210</v>
      </c>
    </row>
    <row r="39" spans="2:22">
      <c r="B39" s="291" t="s">
        <v>1585</v>
      </c>
      <c r="D39" s="522"/>
      <c r="E39" s="368">
        <v>80</v>
      </c>
      <c r="F39" s="368" t="s">
        <v>1576</v>
      </c>
      <c r="G39" s="368" t="s">
        <v>151</v>
      </c>
      <c r="H39" s="483" t="s">
        <v>1344</v>
      </c>
      <c r="I39" s="483" t="s">
        <v>1347</v>
      </c>
      <c r="J39" s="483">
        <v>8363174</v>
      </c>
      <c r="K39" s="368" t="s">
        <v>1191</v>
      </c>
      <c r="L39" s="484">
        <v>29779</v>
      </c>
      <c r="M39" s="371">
        <f t="shared" ca="1" si="0"/>
        <v>44</v>
      </c>
      <c r="N39" s="368" t="s">
        <v>227</v>
      </c>
      <c r="O39" s="509">
        <v>3133492989</v>
      </c>
      <c r="P39" s="486" t="s">
        <v>1964</v>
      </c>
      <c r="Q39" s="368" t="s">
        <v>1291</v>
      </c>
      <c r="R39" s="373" t="s">
        <v>333</v>
      </c>
      <c r="S39" s="374" t="s">
        <v>663</v>
      </c>
      <c r="T39" s="487">
        <v>2023</v>
      </c>
      <c r="U39" s="375" t="s">
        <v>160</v>
      </c>
      <c r="V39" s="291" t="s">
        <v>210</v>
      </c>
    </row>
    <row r="40" spans="2:22">
      <c r="D40" s="522"/>
      <c r="E40" s="368">
        <v>80</v>
      </c>
      <c r="F40" s="368" t="s">
        <v>1576</v>
      </c>
      <c r="G40" s="368" t="s">
        <v>151</v>
      </c>
      <c r="H40" s="483" t="s">
        <v>1344</v>
      </c>
      <c r="I40" s="483" t="s">
        <v>1348</v>
      </c>
      <c r="J40" s="483">
        <v>98622047</v>
      </c>
      <c r="K40" s="368" t="s">
        <v>1191</v>
      </c>
      <c r="L40" s="484">
        <v>27224</v>
      </c>
      <c r="M40" s="371">
        <f t="shared" ca="1" si="0"/>
        <v>51</v>
      </c>
      <c r="N40" s="368" t="s">
        <v>73</v>
      </c>
      <c r="O40" s="509">
        <v>3015994334</v>
      </c>
      <c r="P40" s="489" t="s">
        <v>1965</v>
      </c>
      <c r="Q40" s="368" t="s">
        <v>1291</v>
      </c>
      <c r="R40" s="373" t="s">
        <v>333</v>
      </c>
      <c r="S40" s="374" t="s">
        <v>193</v>
      </c>
      <c r="T40" s="487">
        <v>2024</v>
      </c>
      <c r="U40" s="375" t="s">
        <v>160</v>
      </c>
      <c r="V40" s="291" t="s">
        <v>210</v>
      </c>
    </row>
    <row r="41" spans="2:22">
      <c r="D41" s="918" t="s">
        <v>2290</v>
      </c>
      <c r="E41" s="758">
        <v>80</v>
      </c>
      <c r="F41" s="758" t="s">
        <v>1576</v>
      </c>
      <c r="G41" s="758" t="s">
        <v>151</v>
      </c>
      <c r="H41" s="919" t="s">
        <v>1349</v>
      </c>
      <c r="I41" s="919" t="s">
        <v>1350</v>
      </c>
      <c r="J41" s="919">
        <v>43436190</v>
      </c>
      <c r="K41" s="758" t="s">
        <v>1191</v>
      </c>
      <c r="L41" s="867">
        <v>23767</v>
      </c>
      <c r="M41" s="860">
        <f t="shared" ca="1" si="0"/>
        <v>61</v>
      </c>
      <c r="N41" s="758" t="s">
        <v>73</v>
      </c>
      <c r="O41" s="924">
        <v>3137152456</v>
      </c>
      <c r="P41" s="921" t="s">
        <v>1966</v>
      </c>
      <c r="Q41" s="758" t="s">
        <v>1291</v>
      </c>
      <c r="R41" s="862" t="s">
        <v>164</v>
      </c>
      <c r="S41" s="863" t="s">
        <v>230</v>
      </c>
      <c r="T41" s="922">
        <v>2023</v>
      </c>
      <c r="U41" s="864" t="s">
        <v>166</v>
      </c>
      <c r="V41" s="869" t="s">
        <v>210</v>
      </c>
    </row>
    <row r="42" spans="2:22">
      <c r="D42" s="522"/>
      <c r="E42" s="377">
        <v>80</v>
      </c>
      <c r="F42" s="377" t="s">
        <v>1576</v>
      </c>
      <c r="G42" s="377" t="s">
        <v>151</v>
      </c>
      <c r="H42" s="491" t="s">
        <v>1349</v>
      </c>
      <c r="I42" s="491" t="s">
        <v>1950</v>
      </c>
      <c r="J42" s="491">
        <v>35850510</v>
      </c>
      <c r="K42" s="377" t="s">
        <v>1191</v>
      </c>
      <c r="L42" s="492">
        <v>23953</v>
      </c>
      <c r="M42" s="380">
        <f t="shared" ca="1" si="0"/>
        <v>60</v>
      </c>
      <c r="N42" s="377" t="s">
        <v>114</v>
      </c>
      <c r="O42" s="511">
        <v>3015022048</v>
      </c>
      <c r="P42" s="495" t="s">
        <v>1967</v>
      </c>
      <c r="Q42" s="377" t="s">
        <v>1291</v>
      </c>
      <c r="R42" s="381" t="s">
        <v>321</v>
      </c>
      <c r="S42" s="382" t="s">
        <v>663</v>
      </c>
      <c r="T42" s="494">
        <v>2023</v>
      </c>
      <c r="U42" s="383" t="s">
        <v>160</v>
      </c>
      <c r="V42" s="291" t="s">
        <v>210</v>
      </c>
    </row>
    <row r="43" spans="2:22">
      <c r="D43" s="522"/>
      <c r="E43" s="377">
        <v>80</v>
      </c>
      <c r="F43" s="377" t="s">
        <v>1576</v>
      </c>
      <c r="G43" s="377" t="s">
        <v>151</v>
      </c>
      <c r="H43" s="491" t="s">
        <v>1349</v>
      </c>
      <c r="I43" s="491" t="s">
        <v>1351</v>
      </c>
      <c r="J43" s="491">
        <v>1128451755</v>
      </c>
      <c r="K43" s="377" t="s">
        <v>1191</v>
      </c>
      <c r="L43" s="492">
        <v>32927</v>
      </c>
      <c r="M43" s="380">
        <f t="shared" ca="1" si="0"/>
        <v>36</v>
      </c>
      <c r="N43" s="377" t="s">
        <v>56</v>
      </c>
      <c r="O43" s="511">
        <v>3126067123</v>
      </c>
      <c r="P43" s="495" t="s">
        <v>1968</v>
      </c>
      <c r="Q43" s="377" t="s">
        <v>1291</v>
      </c>
      <c r="R43" s="381" t="s">
        <v>164</v>
      </c>
      <c r="S43" s="382" t="s">
        <v>193</v>
      </c>
      <c r="T43" s="494">
        <v>2023</v>
      </c>
      <c r="U43" s="383" t="s">
        <v>160</v>
      </c>
      <c r="V43" s="291" t="s">
        <v>210</v>
      </c>
    </row>
    <row r="44" spans="2:22">
      <c r="B44" s="488"/>
      <c r="C44" s="488"/>
      <c r="D44" s="918" t="s">
        <v>2290</v>
      </c>
      <c r="E44" s="758">
        <v>80</v>
      </c>
      <c r="F44" s="758" t="s">
        <v>1576</v>
      </c>
      <c r="G44" s="758" t="s">
        <v>151</v>
      </c>
      <c r="H44" s="919" t="s">
        <v>1352</v>
      </c>
      <c r="I44" s="919" t="s">
        <v>1353</v>
      </c>
      <c r="J44" s="919">
        <v>43840884</v>
      </c>
      <c r="K44" s="758" t="s">
        <v>1191</v>
      </c>
      <c r="L44" s="867">
        <v>28783</v>
      </c>
      <c r="M44" s="860">
        <f t="shared" ref="M44:M54" ca="1" si="1">DATEDIF(L44,TODAY(),"Y")</f>
        <v>47</v>
      </c>
      <c r="N44" s="758" t="s">
        <v>56</v>
      </c>
      <c r="O44" s="924">
        <v>3007186261</v>
      </c>
      <c r="P44" s="925" t="s">
        <v>1354</v>
      </c>
      <c r="Q44" s="758" t="s">
        <v>1291</v>
      </c>
      <c r="R44" s="862" t="s">
        <v>333</v>
      </c>
      <c r="S44" s="863" t="s">
        <v>663</v>
      </c>
      <c r="T44" s="922">
        <v>2023</v>
      </c>
      <c r="U44" s="864" t="s">
        <v>166</v>
      </c>
      <c r="V44" s="869" t="s">
        <v>210</v>
      </c>
    </row>
    <row r="45" spans="2:22">
      <c r="D45" s="522"/>
      <c r="E45" s="386">
        <v>80</v>
      </c>
      <c r="F45" s="386" t="s">
        <v>1576</v>
      </c>
      <c r="G45" s="386" t="s">
        <v>151</v>
      </c>
      <c r="H45" s="498" t="s">
        <v>1352</v>
      </c>
      <c r="I45" s="498" t="s">
        <v>1355</v>
      </c>
      <c r="J45" s="498">
        <v>98529966</v>
      </c>
      <c r="K45" s="386" t="s">
        <v>1187</v>
      </c>
      <c r="L45" s="499">
        <v>28264</v>
      </c>
      <c r="M45" s="389">
        <f t="shared" ca="1" si="1"/>
        <v>49</v>
      </c>
      <c r="N45" s="386" t="s">
        <v>227</v>
      </c>
      <c r="O45" s="500">
        <v>3218303234</v>
      </c>
      <c r="P45" s="501" t="s">
        <v>1356</v>
      </c>
      <c r="Q45" s="386" t="s">
        <v>1291</v>
      </c>
      <c r="R45" s="391" t="s">
        <v>333</v>
      </c>
      <c r="S45" s="392" t="s">
        <v>663</v>
      </c>
      <c r="T45" s="502">
        <v>2023</v>
      </c>
      <c r="U45" s="393" t="s">
        <v>160</v>
      </c>
      <c r="V45" s="291" t="s">
        <v>210</v>
      </c>
    </row>
    <row r="46" spans="2:22">
      <c r="D46" s="522"/>
      <c r="E46" s="386">
        <v>80</v>
      </c>
      <c r="F46" s="386" t="s">
        <v>1576</v>
      </c>
      <c r="G46" s="386" t="s">
        <v>151</v>
      </c>
      <c r="H46" s="498" t="s">
        <v>1352</v>
      </c>
      <c r="I46" s="498" t="s">
        <v>1357</v>
      </c>
      <c r="J46" s="498">
        <v>1216715154</v>
      </c>
      <c r="K46" s="386" t="s">
        <v>1187</v>
      </c>
      <c r="L46" s="499">
        <v>34322</v>
      </c>
      <c r="M46" s="389">
        <f t="shared" ca="1" si="1"/>
        <v>32</v>
      </c>
      <c r="N46" s="386"/>
      <c r="O46" s="500">
        <v>3218738212</v>
      </c>
      <c r="P46" s="501" t="s">
        <v>1358</v>
      </c>
      <c r="Q46" s="386" t="s">
        <v>1291</v>
      </c>
      <c r="R46" s="391" t="s">
        <v>164</v>
      </c>
      <c r="S46" s="392"/>
      <c r="T46" s="502">
        <v>2023</v>
      </c>
      <c r="U46" s="393" t="s">
        <v>160</v>
      </c>
      <c r="V46" s="291" t="s">
        <v>210</v>
      </c>
    </row>
    <row r="47" spans="2:22">
      <c r="D47" s="522"/>
      <c r="E47" s="386">
        <v>80</v>
      </c>
      <c r="F47" s="386" t="s">
        <v>1576</v>
      </c>
      <c r="G47" s="386" t="s">
        <v>151</v>
      </c>
      <c r="H47" s="498" t="s">
        <v>1352</v>
      </c>
      <c r="I47" s="498" t="s">
        <v>1359</v>
      </c>
      <c r="J47" s="498">
        <v>43163703</v>
      </c>
      <c r="K47" s="386" t="s">
        <v>1191</v>
      </c>
      <c r="L47" s="499">
        <v>29356</v>
      </c>
      <c r="M47" s="389">
        <f t="shared" ca="1" si="1"/>
        <v>46</v>
      </c>
      <c r="N47" s="386"/>
      <c r="O47" s="500">
        <v>3003159803</v>
      </c>
      <c r="P47" s="501" t="s">
        <v>1324</v>
      </c>
      <c r="Q47" s="386" t="s">
        <v>1291</v>
      </c>
      <c r="R47" s="391" t="s">
        <v>333</v>
      </c>
      <c r="S47" s="392" t="s">
        <v>230</v>
      </c>
      <c r="T47" s="502">
        <v>2023</v>
      </c>
      <c r="U47" s="393" t="s">
        <v>160</v>
      </c>
      <c r="V47" s="291" t="s">
        <v>210</v>
      </c>
    </row>
    <row r="48" spans="2:22">
      <c r="D48" s="522"/>
      <c r="E48" s="386">
        <v>80</v>
      </c>
      <c r="F48" s="386" t="s">
        <v>1576</v>
      </c>
      <c r="G48" s="386" t="s">
        <v>151</v>
      </c>
      <c r="H48" s="498" t="s">
        <v>1352</v>
      </c>
      <c r="I48" s="498" t="s">
        <v>1360</v>
      </c>
      <c r="J48" s="498">
        <v>1017928420</v>
      </c>
      <c r="K48" s="386" t="s">
        <v>1187</v>
      </c>
      <c r="L48" s="499">
        <v>39009</v>
      </c>
      <c r="M48" s="389">
        <f t="shared" ca="1" si="1"/>
        <v>19</v>
      </c>
      <c r="N48" s="386" t="s">
        <v>56</v>
      </c>
      <c r="O48" s="500">
        <v>3052366840</v>
      </c>
      <c r="P48" s="501" t="s">
        <v>1361</v>
      </c>
      <c r="Q48" s="386" t="s">
        <v>1291</v>
      </c>
      <c r="R48" s="391" t="s">
        <v>333</v>
      </c>
      <c r="S48" s="392" t="s">
        <v>193</v>
      </c>
      <c r="T48" s="502">
        <v>2023</v>
      </c>
      <c r="U48" s="393" t="s">
        <v>160</v>
      </c>
      <c r="V48" s="291" t="s">
        <v>210</v>
      </c>
    </row>
    <row r="49" spans="4:22">
      <c r="D49" s="522"/>
      <c r="E49" s="386">
        <v>80</v>
      </c>
      <c r="F49" s="386" t="s">
        <v>1576</v>
      </c>
      <c r="G49" s="386" t="s">
        <v>151</v>
      </c>
      <c r="H49" s="498" t="s">
        <v>1352</v>
      </c>
      <c r="I49" s="498" t="s">
        <v>1331</v>
      </c>
      <c r="J49" s="498">
        <v>1128450550</v>
      </c>
      <c r="K49" s="386" t="s">
        <v>1191</v>
      </c>
      <c r="L49" s="499">
        <v>32364</v>
      </c>
      <c r="M49" s="389">
        <f t="shared" ca="1" si="1"/>
        <v>37</v>
      </c>
      <c r="N49" s="386" t="s">
        <v>56</v>
      </c>
      <c r="O49" s="500">
        <v>3133606597</v>
      </c>
      <c r="P49" s="501" t="s">
        <v>1332</v>
      </c>
      <c r="Q49" s="386" t="s">
        <v>1291</v>
      </c>
      <c r="R49" s="391"/>
      <c r="S49" s="392"/>
      <c r="T49" s="502">
        <v>2023</v>
      </c>
      <c r="U49" s="393" t="s">
        <v>160</v>
      </c>
      <c r="V49" s="291" t="s">
        <v>210</v>
      </c>
    </row>
    <row r="50" spans="4:22">
      <c r="D50" s="522"/>
      <c r="E50" s="386">
        <v>80</v>
      </c>
      <c r="F50" s="386" t="s">
        <v>1576</v>
      </c>
      <c r="G50" s="386" t="s">
        <v>151</v>
      </c>
      <c r="H50" s="498" t="s">
        <v>1352</v>
      </c>
      <c r="I50" s="498" t="s">
        <v>1362</v>
      </c>
      <c r="J50" s="498">
        <v>1128456372</v>
      </c>
      <c r="K50" s="386" t="s">
        <v>1191</v>
      </c>
      <c r="L50" s="499">
        <v>33868</v>
      </c>
      <c r="M50" s="389">
        <f t="shared" ca="1" si="1"/>
        <v>33</v>
      </c>
      <c r="N50" s="386" t="s">
        <v>56</v>
      </c>
      <c r="O50" s="500">
        <v>3013220574</v>
      </c>
      <c r="P50" s="501" t="s">
        <v>1363</v>
      </c>
      <c r="Q50" s="386" t="s">
        <v>1291</v>
      </c>
      <c r="R50" s="391"/>
      <c r="S50" s="392"/>
      <c r="T50" s="502">
        <v>2023</v>
      </c>
      <c r="U50" s="393" t="s">
        <v>160</v>
      </c>
      <c r="V50" s="291" t="s">
        <v>210</v>
      </c>
    </row>
    <row r="51" spans="4:22">
      <c r="D51" s="522"/>
      <c r="E51" s="386">
        <v>80</v>
      </c>
      <c r="F51" s="386" t="s">
        <v>1576</v>
      </c>
      <c r="G51" s="386" t="s">
        <v>151</v>
      </c>
      <c r="H51" s="498" t="s">
        <v>1352</v>
      </c>
      <c r="I51" s="498" t="s">
        <v>1364</v>
      </c>
      <c r="J51" s="498">
        <v>43562086</v>
      </c>
      <c r="K51" s="386" t="s">
        <v>1191</v>
      </c>
      <c r="L51" s="499">
        <v>26408</v>
      </c>
      <c r="M51" s="389">
        <f t="shared" ca="1" si="1"/>
        <v>54</v>
      </c>
      <c r="N51" s="386" t="s">
        <v>56</v>
      </c>
      <c r="O51" s="500">
        <v>3015643416</v>
      </c>
      <c r="P51" s="501" t="s">
        <v>1365</v>
      </c>
      <c r="Q51" s="386" t="s">
        <v>1291</v>
      </c>
      <c r="R51" s="391"/>
      <c r="S51" s="392"/>
      <c r="T51" s="502">
        <v>2023</v>
      </c>
      <c r="U51" s="393" t="s">
        <v>160</v>
      </c>
      <c r="V51" s="291" t="s">
        <v>210</v>
      </c>
    </row>
    <row r="52" spans="4:22">
      <c r="D52" s="522"/>
      <c r="E52" s="386">
        <v>80</v>
      </c>
      <c r="F52" s="386" t="s">
        <v>1576</v>
      </c>
      <c r="G52" s="386" t="s">
        <v>151</v>
      </c>
      <c r="H52" s="498" t="s">
        <v>1352</v>
      </c>
      <c r="I52" s="498" t="s">
        <v>1366</v>
      </c>
      <c r="J52" s="498">
        <v>1128458384</v>
      </c>
      <c r="K52" s="386" t="s">
        <v>1191</v>
      </c>
      <c r="L52" s="499">
        <v>34304</v>
      </c>
      <c r="M52" s="389">
        <f t="shared" ca="1" si="1"/>
        <v>32</v>
      </c>
      <c r="N52" s="386" t="s">
        <v>56</v>
      </c>
      <c r="O52" s="500">
        <v>3122698297</v>
      </c>
      <c r="P52" s="501" t="s">
        <v>1367</v>
      </c>
      <c r="Q52" s="386" t="s">
        <v>1291</v>
      </c>
      <c r="R52" s="391"/>
      <c r="S52" s="392"/>
      <c r="T52" s="502">
        <v>2023</v>
      </c>
      <c r="U52" s="393" t="s">
        <v>160</v>
      </c>
      <c r="V52" s="291" t="s">
        <v>210</v>
      </c>
    </row>
    <row r="53" spans="4:22">
      <c r="D53" s="522"/>
      <c r="E53" s="386">
        <v>80</v>
      </c>
      <c r="F53" s="386" t="s">
        <v>1576</v>
      </c>
      <c r="G53" s="386" t="s">
        <v>151</v>
      </c>
      <c r="H53" s="498" t="s">
        <v>1352</v>
      </c>
      <c r="I53" s="498" t="s">
        <v>1368</v>
      </c>
      <c r="J53" s="498">
        <v>42776820</v>
      </c>
      <c r="K53" s="386" t="s">
        <v>1191</v>
      </c>
      <c r="L53" s="499">
        <v>24774</v>
      </c>
      <c r="M53" s="389">
        <f t="shared" ca="1" si="1"/>
        <v>58</v>
      </c>
      <c r="N53" s="386" t="s">
        <v>73</v>
      </c>
      <c r="O53" s="500">
        <v>3113287850</v>
      </c>
      <c r="P53" s="501" t="s">
        <v>1369</v>
      </c>
      <c r="Q53" s="386" t="s">
        <v>1291</v>
      </c>
      <c r="R53" s="391" t="s">
        <v>333</v>
      </c>
      <c r="S53" s="392"/>
      <c r="T53" s="502">
        <v>2023</v>
      </c>
      <c r="U53" s="393" t="s">
        <v>160</v>
      </c>
      <c r="V53" s="291" t="s">
        <v>210</v>
      </c>
    </row>
    <row r="54" spans="4:22">
      <c r="D54" s="522"/>
      <c r="E54" s="386">
        <v>80</v>
      </c>
      <c r="F54" s="386" t="s">
        <v>1576</v>
      </c>
      <c r="G54" s="386" t="s">
        <v>151</v>
      </c>
      <c r="H54" s="498" t="s">
        <v>1352</v>
      </c>
      <c r="I54" s="498" t="s">
        <v>1370</v>
      </c>
      <c r="J54" s="498">
        <v>1001419517</v>
      </c>
      <c r="K54" s="386" t="s">
        <v>1191</v>
      </c>
      <c r="L54" s="499">
        <v>37673</v>
      </c>
      <c r="M54" s="389">
        <f t="shared" ca="1" si="1"/>
        <v>23</v>
      </c>
      <c r="N54" s="386" t="s">
        <v>73</v>
      </c>
      <c r="O54" s="500">
        <v>3045938484</v>
      </c>
      <c r="P54" s="501" t="s">
        <v>1371</v>
      </c>
      <c r="Q54" s="386" t="s">
        <v>1291</v>
      </c>
      <c r="R54" s="391" t="s">
        <v>333</v>
      </c>
      <c r="S54" s="392" t="s">
        <v>193</v>
      </c>
      <c r="T54" s="502">
        <v>2023</v>
      </c>
      <c r="U54" s="393" t="s">
        <v>160</v>
      </c>
      <c r="V54" s="291" t="s">
        <v>210</v>
      </c>
    </row>
    <row r="55" spans="4:22">
      <c r="D55" s="291" t="s">
        <v>2290</v>
      </c>
      <c r="E55" s="394">
        <v>80</v>
      </c>
      <c r="F55" s="394" t="s">
        <v>1576</v>
      </c>
      <c r="G55" s="394" t="s">
        <v>151</v>
      </c>
      <c r="H55" s="503" t="s">
        <v>1372</v>
      </c>
      <c r="I55" s="503" t="s">
        <v>1942</v>
      </c>
      <c r="J55" s="503">
        <v>42796197</v>
      </c>
      <c r="K55" s="394" t="s">
        <v>1191</v>
      </c>
      <c r="L55" s="504">
        <v>22685</v>
      </c>
      <c r="M55" s="397">
        <f t="shared" ca="1" si="0"/>
        <v>64</v>
      </c>
      <c r="N55" s="394"/>
      <c r="O55" s="505">
        <v>3127699107</v>
      </c>
      <c r="P55" s="506" t="s">
        <v>1969</v>
      </c>
      <c r="Q55" s="394" t="s">
        <v>1291</v>
      </c>
      <c r="R55" s="399" t="s">
        <v>876</v>
      </c>
      <c r="S55" s="400" t="s">
        <v>663</v>
      </c>
      <c r="T55" s="507">
        <v>2023</v>
      </c>
      <c r="U55" s="401" t="s">
        <v>160</v>
      </c>
      <c r="V55" s="291" t="s">
        <v>210</v>
      </c>
    </row>
    <row r="56" spans="4:22">
      <c r="E56" s="394">
        <v>80</v>
      </c>
      <c r="F56" s="394" t="s">
        <v>1576</v>
      </c>
      <c r="G56" s="394" t="s">
        <v>151</v>
      </c>
      <c r="H56" s="503" t="s">
        <v>1372</v>
      </c>
      <c r="I56" s="503" t="s">
        <v>1943</v>
      </c>
      <c r="J56" s="503">
        <v>1128456707</v>
      </c>
      <c r="K56" s="394" t="s">
        <v>1191</v>
      </c>
      <c r="L56" s="504">
        <v>33941</v>
      </c>
      <c r="M56" s="397">
        <f t="shared" ca="1" si="0"/>
        <v>33</v>
      </c>
      <c r="N56" s="394"/>
      <c r="O56" s="505">
        <v>3178091188</v>
      </c>
      <c r="P56" s="506" t="s">
        <v>1970</v>
      </c>
      <c r="Q56" s="394" t="s">
        <v>1291</v>
      </c>
      <c r="R56" s="399" t="s">
        <v>333</v>
      </c>
      <c r="S56" s="400" t="s">
        <v>170</v>
      </c>
      <c r="T56" s="507">
        <v>2023</v>
      </c>
      <c r="U56" s="401" t="s">
        <v>160</v>
      </c>
      <c r="V56" s="291" t="s">
        <v>210</v>
      </c>
    </row>
    <row r="57" spans="4:22">
      <c r="E57" s="394">
        <v>80</v>
      </c>
      <c r="F57" s="394" t="s">
        <v>1576</v>
      </c>
      <c r="G57" s="394" t="s">
        <v>151</v>
      </c>
      <c r="H57" s="503" t="s">
        <v>1372</v>
      </c>
      <c r="I57" s="503" t="s">
        <v>1944</v>
      </c>
      <c r="J57" s="503">
        <v>21653586</v>
      </c>
      <c r="K57" s="394" t="s">
        <v>1191</v>
      </c>
      <c r="L57" s="504">
        <v>23147</v>
      </c>
      <c r="M57" s="397">
        <f t="shared" ca="1" si="0"/>
        <v>63</v>
      </c>
      <c r="N57" s="394"/>
      <c r="O57" s="505">
        <v>3197358200</v>
      </c>
      <c r="P57" s="506" t="s">
        <v>1971</v>
      </c>
      <c r="Q57" s="394" t="s">
        <v>1291</v>
      </c>
      <c r="R57" s="399" t="s">
        <v>891</v>
      </c>
      <c r="S57" s="400" t="s">
        <v>461</v>
      </c>
      <c r="T57" s="507">
        <v>2023</v>
      </c>
      <c r="U57" s="401" t="s">
        <v>160</v>
      </c>
      <c r="V57" s="291" t="s">
        <v>210</v>
      </c>
    </row>
    <row r="58" spans="4:22">
      <c r="E58" s="394">
        <v>80</v>
      </c>
      <c r="F58" s="394" t="s">
        <v>1576</v>
      </c>
      <c r="G58" s="394" t="s">
        <v>151</v>
      </c>
      <c r="H58" s="503" t="s">
        <v>1372</v>
      </c>
      <c r="I58" s="503" t="s">
        <v>1945</v>
      </c>
      <c r="J58" s="503">
        <v>43720726</v>
      </c>
      <c r="K58" s="394" t="s">
        <v>1191</v>
      </c>
      <c r="L58" s="504"/>
      <c r="M58" s="397"/>
      <c r="N58" s="394"/>
      <c r="O58" s="505">
        <v>3007145599</v>
      </c>
      <c r="P58" s="506"/>
      <c r="Q58" s="394" t="s">
        <v>1291</v>
      </c>
      <c r="R58" s="399"/>
      <c r="S58" s="400"/>
      <c r="T58" s="507">
        <v>2023</v>
      </c>
      <c r="U58" s="401" t="s">
        <v>160</v>
      </c>
      <c r="V58" s="291" t="s">
        <v>210</v>
      </c>
    </row>
    <row r="59" spans="4:22">
      <c r="D59" s="869" t="s">
        <v>2290</v>
      </c>
      <c r="E59" s="758">
        <v>80</v>
      </c>
      <c r="F59" s="758" t="s">
        <v>1576</v>
      </c>
      <c r="G59" s="758" t="s">
        <v>151</v>
      </c>
      <c r="H59" s="919" t="s">
        <v>1373</v>
      </c>
      <c r="I59" s="919" t="s">
        <v>1374</v>
      </c>
      <c r="J59" s="919">
        <v>30358567</v>
      </c>
      <c r="K59" s="758" t="s">
        <v>1191</v>
      </c>
      <c r="L59" s="867">
        <v>29162</v>
      </c>
      <c r="M59" s="860">
        <f t="shared" ca="1" si="0"/>
        <v>46</v>
      </c>
      <c r="N59" s="758" t="s">
        <v>73</v>
      </c>
      <c r="O59" s="924">
        <v>3217183302</v>
      </c>
      <c r="P59" s="921" t="s">
        <v>1972</v>
      </c>
      <c r="Q59" s="758" t="s">
        <v>1291</v>
      </c>
      <c r="R59" s="862" t="s">
        <v>891</v>
      </c>
      <c r="S59" s="863" t="s">
        <v>663</v>
      </c>
      <c r="T59" s="922">
        <v>2023</v>
      </c>
      <c r="U59" s="864" t="s">
        <v>166</v>
      </c>
      <c r="V59" s="869" t="s">
        <v>210</v>
      </c>
    </row>
    <row r="60" spans="4:22">
      <c r="E60" s="368">
        <v>80</v>
      </c>
      <c r="F60" s="368" t="s">
        <v>1576</v>
      </c>
      <c r="G60" s="368" t="s">
        <v>151</v>
      </c>
      <c r="H60" s="483" t="s">
        <v>1373</v>
      </c>
      <c r="I60" s="483" t="s">
        <v>1941</v>
      </c>
      <c r="J60" s="483">
        <v>3412842</v>
      </c>
      <c r="K60" s="368" t="s">
        <v>1187</v>
      </c>
      <c r="L60" s="484">
        <v>18362</v>
      </c>
      <c r="M60" s="371">
        <f t="shared" ca="1" si="0"/>
        <v>76</v>
      </c>
      <c r="N60" s="368"/>
      <c r="O60" s="509">
        <v>3125033493</v>
      </c>
      <c r="P60" s="489"/>
      <c r="Q60" s="368" t="s">
        <v>1291</v>
      </c>
      <c r="R60" s="373" t="s">
        <v>891</v>
      </c>
      <c r="S60" s="374" t="s">
        <v>230</v>
      </c>
      <c r="T60" s="487">
        <v>2023</v>
      </c>
      <c r="U60" s="375" t="s">
        <v>160</v>
      </c>
      <c r="V60" s="291" t="s">
        <v>210</v>
      </c>
    </row>
    <row r="61" spans="4:22">
      <c r="E61" s="368">
        <v>80</v>
      </c>
      <c r="F61" s="368" t="s">
        <v>1576</v>
      </c>
      <c r="G61" s="368" t="s">
        <v>151</v>
      </c>
      <c r="H61" s="483" t="s">
        <v>1373</v>
      </c>
      <c r="I61" s="483" t="s">
        <v>1375</v>
      </c>
      <c r="J61" s="483">
        <v>43656186</v>
      </c>
      <c r="K61" s="368" t="s">
        <v>1191</v>
      </c>
      <c r="L61" s="484">
        <v>29908</v>
      </c>
      <c r="M61" s="371">
        <f t="shared" ca="1" si="0"/>
        <v>44</v>
      </c>
      <c r="N61" s="368"/>
      <c r="O61" s="509">
        <v>3137506872</v>
      </c>
      <c r="P61" s="486" t="s">
        <v>1973</v>
      </c>
      <c r="Q61" s="368" t="s">
        <v>1291</v>
      </c>
      <c r="R61" s="373" t="s">
        <v>891</v>
      </c>
      <c r="S61" s="374" t="s">
        <v>1899</v>
      </c>
      <c r="T61" s="487">
        <v>2023</v>
      </c>
      <c r="U61" s="375" t="s">
        <v>160</v>
      </c>
      <c r="V61" s="291" t="s">
        <v>210</v>
      </c>
    </row>
    <row r="62" spans="4:22">
      <c r="E62" s="368">
        <v>80</v>
      </c>
      <c r="F62" s="368" t="s">
        <v>1576</v>
      </c>
      <c r="G62" s="368" t="s">
        <v>151</v>
      </c>
      <c r="H62" s="483" t="s">
        <v>1373</v>
      </c>
      <c r="I62" s="483" t="s">
        <v>1376</v>
      </c>
      <c r="J62" s="483">
        <v>1039684663</v>
      </c>
      <c r="K62" s="368" t="s">
        <v>1187</v>
      </c>
      <c r="L62" s="484">
        <v>38897</v>
      </c>
      <c r="M62" s="371">
        <f t="shared" ca="1" si="0"/>
        <v>19</v>
      </c>
      <c r="N62" s="368" t="s">
        <v>56</v>
      </c>
      <c r="O62" s="509">
        <v>3225820751</v>
      </c>
      <c r="P62" s="489" t="s">
        <v>1974</v>
      </c>
      <c r="Q62" s="368" t="s">
        <v>1291</v>
      </c>
      <c r="R62" s="373" t="s">
        <v>333</v>
      </c>
      <c r="S62" s="374" t="s">
        <v>1899</v>
      </c>
      <c r="T62" s="487">
        <v>2023</v>
      </c>
      <c r="U62" s="375" t="s">
        <v>160</v>
      </c>
      <c r="V62" s="291" t="s">
        <v>210</v>
      </c>
    </row>
    <row r="63" spans="4:22">
      <c r="D63" s="869" t="s">
        <v>2290</v>
      </c>
      <c r="E63" s="758">
        <v>80</v>
      </c>
      <c r="F63" s="758" t="s">
        <v>1576</v>
      </c>
      <c r="G63" s="758" t="s">
        <v>151</v>
      </c>
      <c r="H63" s="919" t="s">
        <v>1377</v>
      </c>
      <c r="I63" s="919" t="s">
        <v>1378</v>
      </c>
      <c r="J63" s="919">
        <v>32525655</v>
      </c>
      <c r="K63" s="758" t="s">
        <v>1191</v>
      </c>
      <c r="L63" s="867">
        <v>20448</v>
      </c>
      <c r="M63" s="860">
        <f t="shared" ca="1" si="0"/>
        <v>70</v>
      </c>
      <c r="N63" s="758" t="s">
        <v>212</v>
      </c>
      <c r="O63" s="924">
        <v>3053296188</v>
      </c>
      <c r="P63" s="923"/>
      <c r="Q63" s="758" t="s">
        <v>1291</v>
      </c>
      <c r="R63" s="862" t="s">
        <v>891</v>
      </c>
      <c r="S63" s="863" t="s">
        <v>663</v>
      </c>
      <c r="T63" s="922">
        <v>2023</v>
      </c>
      <c r="U63" s="864" t="s">
        <v>166</v>
      </c>
      <c r="V63" s="869" t="s">
        <v>210</v>
      </c>
    </row>
    <row r="64" spans="4:22">
      <c r="E64" s="377">
        <v>80</v>
      </c>
      <c r="F64" s="377" t="s">
        <v>1576</v>
      </c>
      <c r="G64" s="377" t="s">
        <v>151</v>
      </c>
      <c r="H64" s="491" t="s">
        <v>1377</v>
      </c>
      <c r="I64" s="491" t="s">
        <v>1379</v>
      </c>
      <c r="J64" s="491">
        <v>4059213</v>
      </c>
      <c r="K64" s="377" t="s">
        <v>1187</v>
      </c>
      <c r="L64" s="492">
        <v>22449</v>
      </c>
      <c r="M64" s="380">
        <f t="shared" ca="1" si="0"/>
        <v>64</v>
      </c>
      <c r="N64" s="377"/>
      <c r="O64" s="511">
        <v>3147121819</v>
      </c>
      <c r="P64" s="495"/>
      <c r="Q64" s="377" t="s">
        <v>1291</v>
      </c>
      <c r="R64" s="381" t="s">
        <v>876</v>
      </c>
      <c r="S64" s="382" t="s">
        <v>193</v>
      </c>
      <c r="T64" s="494">
        <v>2023</v>
      </c>
      <c r="U64" s="383" t="s">
        <v>160</v>
      </c>
      <c r="V64" s="291" t="s">
        <v>210</v>
      </c>
    </row>
    <row r="65" spans="4:22">
      <c r="E65" s="377">
        <v>80</v>
      </c>
      <c r="F65" s="377" t="s">
        <v>1576</v>
      </c>
      <c r="G65" s="377" t="s">
        <v>151</v>
      </c>
      <c r="H65" s="491" t="s">
        <v>1377</v>
      </c>
      <c r="I65" s="491" t="s">
        <v>1380</v>
      </c>
      <c r="J65" s="491">
        <v>98528511</v>
      </c>
      <c r="K65" s="377" t="s">
        <v>1187</v>
      </c>
      <c r="L65" s="492">
        <v>25494</v>
      </c>
      <c r="M65" s="380">
        <f t="shared" ca="1" si="0"/>
        <v>56</v>
      </c>
      <c r="N65" s="377"/>
      <c r="O65" s="511">
        <v>3137480008</v>
      </c>
      <c r="P65" s="495"/>
      <c r="Q65" s="377" t="s">
        <v>1291</v>
      </c>
      <c r="R65" s="381" t="s">
        <v>333</v>
      </c>
      <c r="S65" s="382" t="s">
        <v>663</v>
      </c>
      <c r="T65" s="494">
        <v>2023</v>
      </c>
      <c r="U65" s="383" t="s">
        <v>160</v>
      </c>
      <c r="V65" s="291" t="s">
        <v>210</v>
      </c>
    </row>
    <row r="66" spans="4:22">
      <c r="E66" s="377">
        <v>80</v>
      </c>
      <c r="F66" s="377" t="s">
        <v>1576</v>
      </c>
      <c r="G66" s="377" t="s">
        <v>151</v>
      </c>
      <c r="H66" s="491" t="s">
        <v>1377</v>
      </c>
      <c r="I66" s="491" t="s">
        <v>1381</v>
      </c>
      <c r="J66" s="491">
        <v>43187793</v>
      </c>
      <c r="K66" s="377" t="s">
        <v>1191</v>
      </c>
      <c r="L66" s="492">
        <v>30909</v>
      </c>
      <c r="M66" s="380">
        <f t="shared" ca="1" si="0"/>
        <v>41</v>
      </c>
      <c r="N66" s="377"/>
      <c r="O66" s="511">
        <v>3008737888</v>
      </c>
      <c r="P66" s="495"/>
      <c r="Q66" s="377" t="s">
        <v>1291</v>
      </c>
      <c r="R66" s="381" t="s">
        <v>333</v>
      </c>
      <c r="S66" s="382" t="s">
        <v>663</v>
      </c>
      <c r="T66" s="494">
        <v>2023</v>
      </c>
      <c r="U66" s="383" t="s">
        <v>160</v>
      </c>
      <c r="V66" s="291" t="s">
        <v>210</v>
      </c>
    </row>
    <row r="67" spans="4:22">
      <c r="E67" s="377">
        <v>80</v>
      </c>
      <c r="F67" s="377" t="s">
        <v>1576</v>
      </c>
      <c r="G67" s="377" t="s">
        <v>151</v>
      </c>
      <c r="H67" s="491" t="s">
        <v>1377</v>
      </c>
      <c r="I67" s="491" t="s">
        <v>1382</v>
      </c>
      <c r="J67" s="491">
        <v>82360631</v>
      </c>
      <c r="K67" s="377" t="s">
        <v>1187</v>
      </c>
      <c r="L67" s="492">
        <v>24800</v>
      </c>
      <c r="M67" s="380">
        <f t="shared" ca="1" si="0"/>
        <v>58</v>
      </c>
      <c r="N67" s="377" t="s">
        <v>56</v>
      </c>
      <c r="O67" s="511">
        <v>3008244473</v>
      </c>
      <c r="P67" s="495"/>
      <c r="Q67" s="377" t="s">
        <v>1291</v>
      </c>
      <c r="R67" s="381" t="s">
        <v>333</v>
      </c>
      <c r="S67" s="382" t="s">
        <v>663</v>
      </c>
      <c r="T67" s="494">
        <v>2023</v>
      </c>
      <c r="U67" s="383" t="s">
        <v>160</v>
      </c>
      <c r="V67" s="291" t="s">
        <v>210</v>
      </c>
    </row>
    <row r="68" spans="4:22">
      <c r="D68" s="869" t="s">
        <v>2290</v>
      </c>
      <c r="E68" s="758">
        <v>80</v>
      </c>
      <c r="F68" s="758" t="s">
        <v>1576</v>
      </c>
      <c r="G68" s="758" t="s">
        <v>151</v>
      </c>
      <c r="H68" s="919" t="s">
        <v>1383</v>
      </c>
      <c r="I68" s="919" t="s">
        <v>1385</v>
      </c>
      <c r="J68" s="919">
        <v>1026159302</v>
      </c>
      <c r="K68" s="758" t="s">
        <v>1191</v>
      </c>
      <c r="L68" s="867">
        <v>35887</v>
      </c>
      <c r="M68" s="860">
        <f t="shared" ca="1" si="0"/>
        <v>28</v>
      </c>
      <c r="N68" s="758" t="s">
        <v>212</v>
      </c>
      <c r="O68" s="924">
        <v>3103512817</v>
      </c>
      <c r="P68" s="921" t="s">
        <v>1975</v>
      </c>
      <c r="Q68" s="758" t="s">
        <v>1842</v>
      </c>
      <c r="R68" s="862" t="s">
        <v>192</v>
      </c>
      <c r="S68" s="863" t="s">
        <v>663</v>
      </c>
      <c r="T68" s="922">
        <v>2023</v>
      </c>
      <c r="U68" s="864" t="s">
        <v>166</v>
      </c>
      <c r="V68" s="869" t="s">
        <v>210</v>
      </c>
    </row>
    <row r="69" spans="4:22">
      <c r="E69" s="386">
        <v>80</v>
      </c>
      <c r="F69" s="386" t="s">
        <v>1576</v>
      </c>
      <c r="G69" s="386" t="s">
        <v>151</v>
      </c>
      <c r="H69" s="498" t="s">
        <v>1383</v>
      </c>
      <c r="I69" s="498" t="s">
        <v>1384</v>
      </c>
      <c r="J69" s="498">
        <v>42767559</v>
      </c>
      <c r="K69" s="386" t="s">
        <v>1191</v>
      </c>
      <c r="L69" s="499">
        <v>20440</v>
      </c>
      <c r="M69" s="389">
        <f t="shared" ref="M69:M95" ca="1" si="2">DATEDIF(L69,TODAY(),"Y")</f>
        <v>70</v>
      </c>
      <c r="N69" s="386"/>
      <c r="O69" s="500">
        <v>3015638235</v>
      </c>
      <c r="P69" s="502"/>
      <c r="Q69" s="386" t="s">
        <v>1842</v>
      </c>
      <c r="R69" s="391" t="s">
        <v>333</v>
      </c>
      <c r="S69" s="392" t="s">
        <v>230</v>
      </c>
      <c r="T69" s="502">
        <v>2023</v>
      </c>
      <c r="U69" s="393" t="s">
        <v>160</v>
      </c>
      <c r="V69" s="291" t="s">
        <v>210</v>
      </c>
    </row>
    <row r="70" spans="4:22">
      <c r="E70" s="386">
        <v>80</v>
      </c>
      <c r="F70" s="386" t="s">
        <v>1576</v>
      </c>
      <c r="G70" s="386" t="s">
        <v>151</v>
      </c>
      <c r="H70" s="498" t="s">
        <v>1383</v>
      </c>
      <c r="I70" s="498" t="s">
        <v>1386</v>
      </c>
      <c r="J70" s="498">
        <v>98637467</v>
      </c>
      <c r="K70" s="386" t="s">
        <v>1187</v>
      </c>
      <c r="L70" s="499">
        <v>29167</v>
      </c>
      <c r="M70" s="389">
        <f t="shared" ca="1" si="2"/>
        <v>46</v>
      </c>
      <c r="N70" s="386" t="s">
        <v>272</v>
      </c>
      <c r="O70" s="500">
        <v>3175190369</v>
      </c>
      <c r="P70" s="512" t="s">
        <v>1976</v>
      </c>
      <c r="Q70" s="386" t="s">
        <v>1387</v>
      </c>
      <c r="R70" s="391" t="s">
        <v>333</v>
      </c>
      <c r="S70" s="392" t="s">
        <v>663</v>
      </c>
      <c r="T70" s="502">
        <v>2023</v>
      </c>
      <c r="U70" s="393" t="s">
        <v>160</v>
      </c>
      <c r="V70" s="291" t="s">
        <v>210</v>
      </c>
    </row>
    <row r="71" spans="4:22">
      <c r="E71" s="386">
        <v>80</v>
      </c>
      <c r="F71" s="386" t="s">
        <v>1576</v>
      </c>
      <c r="G71" s="386" t="s">
        <v>151</v>
      </c>
      <c r="H71" s="498" t="s">
        <v>1383</v>
      </c>
      <c r="I71" s="498" t="s">
        <v>1388</v>
      </c>
      <c r="J71" s="498">
        <v>1000291151</v>
      </c>
      <c r="K71" s="386" t="s">
        <v>1191</v>
      </c>
      <c r="L71" s="499">
        <v>35460</v>
      </c>
      <c r="M71" s="389">
        <f t="shared" ca="1" si="2"/>
        <v>29</v>
      </c>
      <c r="N71" s="386"/>
      <c r="O71" s="500">
        <v>3017063958</v>
      </c>
      <c r="P71" s="512" t="s">
        <v>1977</v>
      </c>
      <c r="Q71" s="386" t="s">
        <v>1842</v>
      </c>
      <c r="R71" s="391" t="s">
        <v>891</v>
      </c>
      <c r="S71" s="392" t="s">
        <v>230</v>
      </c>
      <c r="T71" s="502">
        <v>2023</v>
      </c>
      <c r="U71" s="393" t="s">
        <v>160</v>
      </c>
      <c r="V71" s="291" t="s">
        <v>210</v>
      </c>
    </row>
    <row r="72" spans="4:22">
      <c r="E72" s="386">
        <v>80</v>
      </c>
      <c r="F72" s="386" t="s">
        <v>1576</v>
      </c>
      <c r="G72" s="386" t="s">
        <v>151</v>
      </c>
      <c r="H72" s="498" t="s">
        <v>1383</v>
      </c>
      <c r="I72" s="498" t="s">
        <v>1389</v>
      </c>
      <c r="J72" s="498">
        <v>43453599</v>
      </c>
      <c r="K72" s="386" t="s">
        <v>1191</v>
      </c>
      <c r="L72" s="499">
        <v>24358</v>
      </c>
      <c r="M72" s="389">
        <f t="shared" ca="1" si="2"/>
        <v>59</v>
      </c>
      <c r="N72" s="386"/>
      <c r="O72" s="500">
        <v>3148761034</v>
      </c>
      <c r="P72" s="512" t="s">
        <v>1978</v>
      </c>
      <c r="Q72" s="386" t="s">
        <v>1842</v>
      </c>
      <c r="R72" s="391" t="s">
        <v>891</v>
      </c>
      <c r="S72" s="392" t="s">
        <v>218</v>
      </c>
      <c r="T72" s="502">
        <v>2023</v>
      </c>
      <c r="U72" s="393" t="s">
        <v>160</v>
      </c>
      <c r="V72" s="291" t="s">
        <v>210</v>
      </c>
    </row>
    <row r="73" spans="4:22">
      <c r="D73" s="869" t="s">
        <v>2290</v>
      </c>
      <c r="E73" s="758">
        <v>80</v>
      </c>
      <c r="F73" s="758" t="s">
        <v>1576</v>
      </c>
      <c r="G73" s="758" t="s">
        <v>151</v>
      </c>
      <c r="H73" s="919" t="s">
        <v>1553</v>
      </c>
      <c r="I73" s="919" t="s">
        <v>1552</v>
      </c>
      <c r="J73" s="919">
        <v>1040747066</v>
      </c>
      <c r="K73" s="758" t="s">
        <v>1187</v>
      </c>
      <c r="L73" s="867">
        <v>34388</v>
      </c>
      <c r="M73" s="860">
        <f t="shared" ca="1" si="2"/>
        <v>32</v>
      </c>
      <c r="N73" s="758" t="s">
        <v>56</v>
      </c>
      <c r="O73" s="924">
        <v>3006997988</v>
      </c>
      <c r="P73" s="921" t="s">
        <v>1979</v>
      </c>
      <c r="Q73" s="758"/>
      <c r="R73" s="862" t="s">
        <v>164</v>
      </c>
      <c r="S73" s="863" t="s">
        <v>663</v>
      </c>
      <c r="T73" s="922">
        <v>2023</v>
      </c>
      <c r="U73" s="864" t="s">
        <v>166</v>
      </c>
      <c r="V73" s="869" t="s">
        <v>210</v>
      </c>
    </row>
    <row r="74" spans="4:22">
      <c r="E74" s="394">
        <v>80</v>
      </c>
      <c r="F74" s="394" t="s">
        <v>1576</v>
      </c>
      <c r="G74" s="394" t="s">
        <v>151</v>
      </c>
      <c r="H74" s="503" t="s">
        <v>1390</v>
      </c>
      <c r="I74" s="503" t="s">
        <v>1391</v>
      </c>
      <c r="J74" s="503">
        <v>1039451667</v>
      </c>
      <c r="K74" s="394" t="s">
        <v>1191</v>
      </c>
      <c r="L74" s="504">
        <v>32623</v>
      </c>
      <c r="M74" s="397">
        <f t="shared" ca="1" si="2"/>
        <v>37</v>
      </c>
      <c r="N74" s="394" t="s">
        <v>56</v>
      </c>
      <c r="O74" s="505">
        <v>3135178632</v>
      </c>
      <c r="P74" s="513" t="s">
        <v>1980</v>
      </c>
      <c r="Q74" s="394"/>
      <c r="R74" s="399" t="s">
        <v>891</v>
      </c>
      <c r="S74" s="400" t="s">
        <v>193</v>
      </c>
      <c r="T74" s="507">
        <v>2023</v>
      </c>
      <c r="U74" s="401" t="s">
        <v>160</v>
      </c>
      <c r="V74" s="291" t="s">
        <v>210</v>
      </c>
    </row>
    <row r="75" spans="4:22">
      <c r="E75" s="394">
        <v>80</v>
      </c>
      <c r="F75" s="394" t="s">
        <v>1576</v>
      </c>
      <c r="G75" s="394" t="s">
        <v>151</v>
      </c>
      <c r="H75" s="503" t="s">
        <v>1390</v>
      </c>
      <c r="I75" s="503" t="s">
        <v>1392</v>
      </c>
      <c r="J75" s="503">
        <v>39168106</v>
      </c>
      <c r="K75" s="394" t="s">
        <v>1191</v>
      </c>
      <c r="L75" s="504">
        <v>25407</v>
      </c>
      <c r="M75" s="397">
        <f t="shared" ca="1" si="2"/>
        <v>56</v>
      </c>
      <c r="N75" s="394" t="s">
        <v>114</v>
      </c>
      <c r="O75" s="505">
        <v>3114838571</v>
      </c>
      <c r="P75" s="513" t="s">
        <v>1981</v>
      </c>
      <c r="Q75" s="394"/>
      <c r="R75" s="399" t="s">
        <v>333</v>
      </c>
      <c r="S75" s="400" t="s">
        <v>663</v>
      </c>
      <c r="T75" s="507">
        <v>2023</v>
      </c>
      <c r="U75" s="401" t="s">
        <v>160</v>
      </c>
      <c r="V75" s="291" t="s">
        <v>210</v>
      </c>
    </row>
    <row r="76" spans="4:22">
      <c r="E76" s="394">
        <v>80</v>
      </c>
      <c r="F76" s="394" t="s">
        <v>1576</v>
      </c>
      <c r="G76" s="394" t="s">
        <v>151</v>
      </c>
      <c r="H76" s="503" t="s">
        <v>1390</v>
      </c>
      <c r="I76" s="503" t="s">
        <v>1393</v>
      </c>
      <c r="J76" s="503">
        <v>1128457963</v>
      </c>
      <c r="K76" s="394" t="s">
        <v>1191</v>
      </c>
      <c r="L76" s="504">
        <v>34021</v>
      </c>
      <c r="M76" s="397">
        <f t="shared" ca="1" si="2"/>
        <v>33</v>
      </c>
      <c r="N76" s="394" t="s">
        <v>114</v>
      </c>
      <c r="O76" s="505">
        <v>3045340934</v>
      </c>
      <c r="P76" s="513" t="s">
        <v>1982</v>
      </c>
      <c r="Q76" s="394"/>
      <c r="R76" s="399" t="s">
        <v>333</v>
      </c>
      <c r="S76" s="400" t="s">
        <v>663</v>
      </c>
      <c r="T76" s="507">
        <v>2023</v>
      </c>
      <c r="U76" s="401" t="s">
        <v>160</v>
      </c>
      <c r="V76" s="291" t="s">
        <v>210</v>
      </c>
    </row>
    <row r="77" spans="4:22">
      <c r="E77" s="394">
        <v>80</v>
      </c>
      <c r="F77" s="394" t="s">
        <v>1576</v>
      </c>
      <c r="G77" s="394" t="s">
        <v>151</v>
      </c>
      <c r="H77" s="503" t="s">
        <v>1390</v>
      </c>
      <c r="I77" s="503" t="s">
        <v>1394</v>
      </c>
      <c r="J77" s="503">
        <v>1040732387</v>
      </c>
      <c r="K77" s="394" t="s">
        <v>1191</v>
      </c>
      <c r="L77" s="504">
        <v>38738</v>
      </c>
      <c r="M77" s="397">
        <f t="shared" ca="1" si="2"/>
        <v>20</v>
      </c>
      <c r="N77" s="394" t="s">
        <v>73</v>
      </c>
      <c r="O77" s="505">
        <v>3024481510</v>
      </c>
      <c r="P77" s="513" t="s">
        <v>1983</v>
      </c>
      <c r="Q77" s="394"/>
      <c r="R77" s="399" t="s">
        <v>321</v>
      </c>
      <c r="S77" s="400" t="s">
        <v>230</v>
      </c>
      <c r="T77" s="507">
        <v>2023</v>
      </c>
      <c r="U77" s="401" t="s">
        <v>160</v>
      </c>
      <c r="V77" s="291" t="s">
        <v>210</v>
      </c>
    </row>
    <row r="78" spans="4:22">
      <c r="E78" s="394">
        <v>80</v>
      </c>
      <c r="F78" s="394" t="s">
        <v>1576</v>
      </c>
      <c r="G78" s="394" t="s">
        <v>151</v>
      </c>
      <c r="H78" s="503" t="s">
        <v>1390</v>
      </c>
      <c r="I78" s="503" t="s">
        <v>1395</v>
      </c>
      <c r="J78" s="503">
        <v>1193533398</v>
      </c>
      <c r="K78" s="394" t="s">
        <v>1191</v>
      </c>
      <c r="L78" s="504">
        <v>37185</v>
      </c>
      <c r="M78" s="397">
        <f t="shared" ca="1" si="2"/>
        <v>24</v>
      </c>
      <c r="N78" s="394" t="s">
        <v>73</v>
      </c>
      <c r="O78" s="505">
        <v>3116346204</v>
      </c>
      <c r="P78" s="513" t="s">
        <v>1984</v>
      </c>
      <c r="Q78" s="394"/>
      <c r="R78" s="399" t="s">
        <v>164</v>
      </c>
      <c r="S78" s="400" t="s">
        <v>230</v>
      </c>
      <c r="T78" s="507">
        <v>2023</v>
      </c>
      <c r="U78" s="401" t="s">
        <v>160</v>
      </c>
      <c r="V78" s="291" t="s">
        <v>210</v>
      </c>
    </row>
    <row r="79" spans="4:22">
      <c r="D79" s="869" t="s">
        <v>2290</v>
      </c>
      <c r="E79" s="758">
        <v>80</v>
      </c>
      <c r="F79" s="758" t="s">
        <v>1576</v>
      </c>
      <c r="G79" s="758" t="s">
        <v>151</v>
      </c>
      <c r="H79" s="919" t="s">
        <v>1396</v>
      </c>
      <c r="I79" s="919" t="s">
        <v>1937</v>
      </c>
      <c r="J79" s="919">
        <v>21396441</v>
      </c>
      <c r="K79" s="758" t="s">
        <v>1191</v>
      </c>
      <c r="L79" s="867">
        <v>21484</v>
      </c>
      <c r="M79" s="860">
        <f t="shared" ca="1" si="2"/>
        <v>67</v>
      </c>
      <c r="N79" s="758" t="s">
        <v>73</v>
      </c>
      <c r="O79" s="924">
        <v>3175490026</v>
      </c>
      <c r="P79" s="921" t="s">
        <v>1985</v>
      </c>
      <c r="Q79" s="758" t="s">
        <v>1291</v>
      </c>
      <c r="R79" s="862" t="s">
        <v>876</v>
      </c>
      <c r="S79" s="863" t="s">
        <v>663</v>
      </c>
      <c r="T79" s="922">
        <v>2023</v>
      </c>
      <c r="U79" s="864" t="s">
        <v>166</v>
      </c>
      <c r="V79" s="869" t="s">
        <v>210</v>
      </c>
    </row>
    <row r="80" spans="4:22">
      <c r="E80" s="368">
        <v>80</v>
      </c>
      <c r="F80" s="368" t="s">
        <v>1576</v>
      </c>
      <c r="G80" s="368" t="s">
        <v>151</v>
      </c>
      <c r="H80" s="483" t="s">
        <v>1396</v>
      </c>
      <c r="I80" s="483" t="s">
        <v>1938</v>
      </c>
      <c r="J80" s="483">
        <v>42972136</v>
      </c>
      <c r="K80" s="368" t="s">
        <v>1191</v>
      </c>
      <c r="L80" s="484">
        <v>21327</v>
      </c>
      <c r="M80" s="371">
        <f t="shared" ca="1" si="2"/>
        <v>67</v>
      </c>
      <c r="N80" s="368"/>
      <c r="O80" s="509">
        <v>3126173572</v>
      </c>
      <c r="P80" s="486" t="s">
        <v>1986</v>
      </c>
      <c r="Q80" s="368" t="s">
        <v>1291</v>
      </c>
      <c r="R80" s="373" t="s">
        <v>891</v>
      </c>
      <c r="S80" s="374" t="s">
        <v>230</v>
      </c>
      <c r="T80" s="487">
        <v>2023</v>
      </c>
      <c r="U80" s="375" t="s">
        <v>160</v>
      </c>
      <c r="V80" s="291" t="s">
        <v>210</v>
      </c>
    </row>
    <row r="81" spans="4:22">
      <c r="E81" s="368">
        <v>80</v>
      </c>
      <c r="F81" s="368" t="s">
        <v>1576</v>
      </c>
      <c r="G81" s="368" t="s">
        <v>151</v>
      </c>
      <c r="H81" s="483" t="s">
        <v>1396</v>
      </c>
      <c r="I81" s="483" t="s">
        <v>1939</v>
      </c>
      <c r="J81" s="483">
        <v>43343972</v>
      </c>
      <c r="K81" s="368" t="s">
        <v>1191</v>
      </c>
      <c r="L81" s="484">
        <v>26811</v>
      </c>
      <c r="M81" s="371">
        <f t="shared" ca="1" si="2"/>
        <v>52</v>
      </c>
      <c r="N81" s="368"/>
      <c r="O81" s="509">
        <v>3003044474</v>
      </c>
      <c r="P81" s="486" t="s">
        <v>1987</v>
      </c>
      <c r="Q81" s="368" t="s">
        <v>1291</v>
      </c>
      <c r="R81" s="373" t="s">
        <v>333</v>
      </c>
      <c r="S81" s="374" t="s">
        <v>193</v>
      </c>
      <c r="T81" s="487">
        <v>2023</v>
      </c>
      <c r="U81" s="375" t="s">
        <v>160</v>
      </c>
      <c r="V81" s="291" t="s">
        <v>210</v>
      </c>
    </row>
    <row r="82" spans="4:22">
      <c r="E82" s="368">
        <v>80</v>
      </c>
      <c r="F82" s="368" t="s">
        <v>1576</v>
      </c>
      <c r="G82" s="368" t="s">
        <v>151</v>
      </c>
      <c r="H82" s="483" t="s">
        <v>1396</v>
      </c>
      <c r="I82" s="483" t="s">
        <v>1940</v>
      </c>
      <c r="J82" s="483">
        <v>43067964</v>
      </c>
      <c r="K82" s="368" t="s">
        <v>1191</v>
      </c>
      <c r="L82" s="484">
        <v>23558</v>
      </c>
      <c r="M82" s="371">
        <f t="shared" ca="1" si="2"/>
        <v>61</v>
      </c>
      <c r="N82" s="368"/>
      <c r="O82" s="509">
        <v>3188768617</v>
      </c>
      <c r="P82" s="486" t="s">
        <v>1988</v>
      </c>
      <c r="Q82" s="368" t="s">
        <v>1291</v>
      </c>
      <c r="R82" s="373" t="s">
        <v>891</v>
      </c>
      <c r="S82" s="374" t="s">
        <v>663</v>
      </c>
      <c r="T82" s="487">
        <v>2023</v>
      </c>
      <c r="U82" s="375" t="s">
        <v>160</v>
      </c>
      <c r="V82" s="291" t="s">
        <v>210</v>
      </c>
    </row>
    <row r="83" spans="4:22">
      <c r="D83" s="869" t="s">
        <v>2290</v>
      </c>
      <c r="E83" s="758">
        <v>80</v>
      </c>
      <c r="F83" s="758" t="s">
        <v>1576</v>
      </c>
      <c r="G83" s="758" t="s">
        <v>151</v>
      </c>
      <c r="H83" s="919" t="s">
        <v>1397</v>
      </c>
      <c r="I83" s="919" t="s">
        <v>1549</v>
      </c>
      <c r="J83" s="919">
        <v>15364317</v>
      </c>
      <c r="K83" s="758" t="s">
        <v>1187</v>
      </c>
      <c r="L83" s="867">
        <v>20825</v>
      </c>
      <c r="M83" s="860">
        <f t="shared" ca="1" si="2"/>
        <v>69</v>
      </c>
      <c r="N83" s="758" t="s">
        <v>73</v>
      </c>
      <c r="O83" s="924">
        <v>3148369082</v>
      </c>
      <c r="P83" s="921" t="s">
        <v>1989</v>
      </c>
      <c r="Q83" s="758" t="s">
        <v>1291</v>
      </c>
      <c r="R83" s="862" t="s">
        <v>333</v>
      </c>
      <c r="S83" s="863" t="s">
        <v>230</v>
      </c>
      <c r="T83" s="922">
        <v>2023</v>
      </c>
      <c r="U83" s="864" t="s">
        <v>166</v>
      </c>
      <c r="V83" s="869" t="s">
        <v>210</v>
      </c>
    </row>
    <row r="84" spans="4:22">
      <c r="E84" s="377">
        <v>80</v>
      </c>
      <c r="F84" s="377" t="s">
        <v>1576</v>
      </c>
      <c r="G84" s="377" t="s">
        <v>151</v>
      </c>
      <c r="H84" s="491" t="s">
        <v>1397</v>
      </c>
      <c r="I84" s="491" t="s">
        <v>1398</v>
      </c>
      <c r="J84" s="491">
        <v>1017189764</v>
      </c>
      <c r="K84" s="377" t="s">
        <v>1187</v>
      </c>
      <c r="L84" s="492">
        <v>33224</v>
      </c>
      <c r="M84" s="380">
        <f t="shared" ca="1" si="2"/>
        <v>35</v>
      </c>
      <c r="N84" s="377" t="s">
        <v>56</v>
      </c>
      <c r="O84" s="511">
        <v>3122326171</v>
      </c>
      <c r="P84" s="494"/>
      <c r="Q84" s="377" t="s">
        <v>1291</v>
      </c>
      <c r="R84" s="381" t="s">
        <v>333</v>
      </c>
      <c r="S84" s="382" t="s">
        <v>663</v>
      </c>
      <c r="T84" s="494">
        <v>2023</v>
      </c>
      <c r="U84" s="383" t="s">
        <v>160</v>
      </c>
      <c r="V84" s="291" t="s">
        <v>210</v>
      </c>
    </row>
    <row r="85" spans="4:22">
      <c r="E85" s="377">
        <v>80</v>
      </c>
      <c r="F85" s="377" t="s">
        <v>1576</v>
      </c>
      <c r="G85" s="377" t="s">
        <v>151</v>
      </c>
      <c r="H85" s="491" t="s">
        <v>1397</v>
      </c>
      <c r="I85" s="491" t="s">
        <v>1399</v>
      </c>
      <c r="J85" s="491">
        <v>98518569</v>
      </c>
      <c r="K85" s="377" t="s">
        <v>1187</v>
      </c>
      <c r="L85" s="492"/>
      <c r="M85" s="380"/>
      <c r="N85" s="377"/>
      <c r="O85" s="511">
        <v>3233607680</v>
      </c>
      <c r="P85" s="494"/>
      <c r="Q85" s="377" t="s">
        <v>1291</v>
      </c>
      <c r="R85" s="381" t="s">
        <v>333</v>
      </c>
      <c r="S85" s="382" t="s">
        <v>663</v>
      </c>
      <c r="T85" s="494">
        <v>2023</v>
      </c>
      <c r="U85" s="383" t="s">
        <v>160</v>
      </c>
      <c r="V85" s="291" t="s">
        <v>210</v>
      </c>
    </row>
    <row r="86" spans="4:22">
      <c r="E86" s="377">
        <v>80</v>
      </c>
      <c r="F86" s="377" t="s">
        <v>1576</v>
      </c>
      <c r="G86" s="377" t="s">
        <v>151</v>
      </c>
      <c r="H86" s="491" t="s">
        <v>1397</v>
      </c>
      <c r="I86" s="491" t="s">
        <v>1400</v>
      </c>
      <c r="J86" s="491">
        <v>1000406796</v>
      </c>
      <c r="K86" s="377" t="s">
        <v>1187</v>
      </c>
      <c r="L86" s="492"/>
      <c r="M86" s="380"/>
      <c r="N86" s="377"/>
      <c r="O86" s="511">
        <v>3008779415</v>
      </c>
      <c r="P86" s="494"/>
      <c r="Q86" s="377" t="s">
        <v>1291</v>
      </c>
      <c r="R86" s="381" t="s">
        <v>333</v>
      </c>
      <c r="S86" s="382" t="s">
        <v>230</v>
      </c>
      <c r="T86" s="494">
        <v>2023</v>
      </c>
      <c r="U86" s="383" t="s">
        <v>160</v>
      </c>
      <c r="V86" s="291" t="s">
        <v>210</v>
      </c>
    </row>
    <row r="87" spans="4:22">
      <c r="E87" s="377">
        <v>80</v>
      </c>
      <c r="F87" s="377" t="s">
        <v>1576</v>
      </c>
      <c r="G87" s="377" t="s">
        <v>151</v>
      </c>
      <c r="H87" s="491" t="s">
        <v>1397</v>
      </c>
      <c r="I87" s="491" t="s">
        <v>1936</v>
      </c>
      <c r="J87" s="491">
        <v>70096256</v>
      </c>
      <c r="K87" s="377" t="s">
        <v>1187</v>
      </c>
      <c r="L87" s="492"/>
      <c r="M87" s="380"/>
      <c r="N87" s="377"/>
      <c r="O87" s="511">
        <v>3107565534</v>
      </c>
      <c r="P87" s="494"/>
      <c r="Q87" s="377" t="s">
        <v>1291</v>
      </c>
      <c r="R87" s="381" t="s">
        <v>333</v>
      </c>
      <c r="S87" s="382" t="s">
        <v>193</v>
      </c>
      <c r="T87" s="494">
        <v>2023</v>
      </c>
      <c r="U87" s="383" t="s">
        <v>160</v>
      </c>
      <c r="V87" s="291" t="s">
        <v>210</v>
      </c>
    </row>
    <row r="88" spans="4:22">
      <c r="D88" s="869" t="s">
        <v>2290</v>
      </c>
      <c r="E88" s="758">
        <v>80</v>
      </c>
      <c r="F88" s="758" t="s">
        <v>1576</v>
      </c>
      <c r="G88" s="758" t="s">
        <v>151</v>
      </c>
      <c r="H88" s="919" t="s">
        <v>1401</v>
      </c>
      <c r="I88" s="919" t="s">
        <v>1546</v>
      </c>
      <c r="J88" s="919">
        <v>98657879</v>
      </c>
      <c r="K88" s="758" t="s">
        <v>1187</v>
      </c>
      <c r="L88" s="867">
        <v>27641</v>
      </c>
      <c r="M88" s="860">
        <f t="shared" ca="1" si="2"/>
        <v>50</v>
      </c>
      <c r="N88" s="758" t="s">
        <v>73</v>
      </c>
      <c r="O88" s="920">
        <v>3022182216</v>
      </c>
      <c r="P88" s="925" t="s">
        <v>1990</v>
      </c>
      <c r="Q88" s="758" t="s">
        <v>1844</v>
      </c>
      <c r="R88" s="862" t="s">
        <v>333</v>
      </c>
      <c r="S88" s="863" t="s">
        <v>663</v>
      </c>
      <c r="T88" s="922">
        <v>2023</v>
      </c>
      <c r="U88" s="864" t="s">
        <v>166</v>
      </c>
      <c r="V88" s="869" t="s">
        <v>210</v>
      </c>
    </row>
    <row r="89" spans="4:22">
      <c r="E89" s="386">
        <v>80</v>
      </c>
      <c r="F89" s="386" t="s">
        <v>1576</v>
      </c>
      <c r="G89" s="386" t="s">
        <v>151</v>
      </c>
      <c r="H89" s="498" t="s">
        <v>1401</v>
      </c>
      <c r="I89" s="498" t="s">
        <v>1935</v>
      </c>
      <c r="J89" s="498">
        <v>71949723</v>
      </c>
      <c r="K89" s="386" t="s">
        <v>1187</v>
      </c>
      <c r="L89" s="499">
        <v>29587</v>
      </c>
      <c r="M89" s="389">
        <f t="shared" ca="1" si="2"/>
        <v>45</v>
      </c>
      <c r="N89" s="386"/>
      <c r="O89" s="514">
        <v>3117058468</v>
      </c>
      <c r="P89" s="512" t="s">
        <v>1991</v>
      </c>
      <c r="Q89" s="386" t="s">
        <v>1844</v>
      </c>
      <c r="R89" s="391" t="s">
        <v>333</v>
      </c>
      <c r="S89" s="392" t="s">
        <v>663</v>
      </c>
      <c r="T89" s="502">
        <v>2023</v>
      </c>
      <c r="U89" s="393" t="s">
        <v>160</v>
      </c>
      <c r="V89" s="291" t="s">
        <v>210</v>
      </c>
    </row>
    <row r="90" spans="4:22">
      <c r="E90" s="386">
        <v>80</v>
      </c>
      <c r="F90" s="386" t="s">
        <v>1576</v>
      </c>
      <c r="G90" s="386" t="s">
        <v>151</v>
      </c>
      <c r="H90" s="498" t="s">
        <v>1401</v>
      </c>
      <c r="I90" s="498" t="s">
        <v>1402</v>
      </c>
      <c r="J90" s="498">
        <v>1037580978</v>
      </c>
      <c r="K90" s="386" t="s">
        <v>1191</v>
      </c>
      <c r="L90" s="499">
        <v>31696</v>
      </c>
      <c r="M90" s="389">
        <f t="shared" ca="1" si="2"/>
        <v>39</v>
      </c>
      <c r="N90" s="386" t="s">
        <v>272</v>
      </c>
      <c r="O90" s="514">
        <v>3001479999</v>
      </c>
      <c r="P90" s="512" t="s">
        <v>1992</v>
      </c>
      <c r="Q90" s="386" t="s">
        <v>1844</v>
      </c>
      <c r="R90" s="391" t="s">
        <v>891</v>
      </c>
      <c r="S90" s="392" t="s">
        <v>230</v>
      </c>
      <c r="T90" s="515">
        <v>2023</v>
      </c>
      <c r="U90" s="393" t="s">
        <v>160</v>
      </c>
      <c r="V90" s="291" t="s">
        <v>210</v>
      </c>
    </row>
    <row r="91" spans="4:22">
      <c r="D91" s="869" t="s">
        <v>2290</v>
      </c>
      <c r="E91" s="758">
        <v>80</v>
      </c>
      <c r="F91" s="758" t="s">
        <v>1576</v>
      </c>
      <c r="G91" s="758" t="s">
        <v>151</v>
      </c>
      <c r="H91" s="858" t="s">
        <v>1403</v>
      </c>
      <c r="I91" s="858" t="s">
        <v>1407</v>
      </c>
      <c r="J91" s="858">
        <v>71274890</v>
      </c>
      <c r="K91" s="758" t="s">
        <v>1187</v>
      </c>
      <c r="L91" s="867">
        <v>30231</v>
      </c>
      <c r="M91" s="860">
        <f t="shared" ca="1" si="2"/>
        <v>43</v>
      </c>
      <c r="N91" s="758" t="s">
        <v>56</v>
      </c>
      <c r="O91" s="926">
        <v>3013312081</v>
      </c>
      <c r="P91" s="927" t="s">
        <v>1993</v>
      </c>
      <c r="Q91" s="758" t="s">
        <v>1291</v>
      </c>
      <c r="R91" s="862" t="s">
        <v>333</v>
      </c>
      <c r="S91" s="863" t="s">
        <v>193</v>
      </c>
      <c r="T91" s="928">
        <v>2023</v>
      </c>
      <c r="U91" s="864" t="s">
        <v>166</v>
      </c>
      <c r="V91" s="869" t="s">
        <v>210</v>
      </c>
    </row>
    <row r="92" spans="4:22">
      <c r="E92" s="394">
        <v>80</v>
      </c>
      <c r="F92" s="394" t="s">
        <v>1576</v>
      </c>
      <c r="G92" s="394" t="s">
        <v>151</v>
      </c>
      <c r="H92" s="395" t="s">
        <v>1403</v>
      </c>
      <c r="I92" s="395" t="s">
        <v>1404</v>
      </c>
      <c r="J92" s="395">
        <v>1000305342</v>
      </c>
      <c r="K92" s="394" t="s">
        <v>1191</v>
      </c>
      <c r="L92" s="504">
        <v>35025</v>
      </c>
      <c r="M92" s="397">
        <f t="shared" ca="1" si="2"/>
        <v>30</v>
      </c>
      <c r="N92" s="394" t="s">
        <v>56</v>
      </c>
      <c r="O92" s="516">
        <v>3006109760</v>
      </c>
      <c r="P92" s="517" t="s">
        <v>1994</v>
      </c>
      <c r="Q92" s="394" t="s">
        <v>1291</v>
      </c>
      <c r="R92" s="399" t="s">
        <v>164</v>
      </c>
      <c r="S92" s="400" t="s">
        <v>663</v>
      </c>
      <c r="T92" s="507">
        <v>2023</v>
      </c>
      <c r="U92" s="401" t="s">
        <v>160</v>
      </c>
      <c r="V92" s="291" t="s">
        <v>210</v>
      </c>
    </row>
    <row r="93" spans="4:22">
      <c r="E93" s="394">
        <v>80</v>
      </c>
      <c r="F93" s="394" t="s">
        <v>1576</v>
      </c>
      <c r="G93" s="394" t="s">
        <v>151</v>
      </c>
      <c r="H93" s="395" t="s">
        <v>1403</v>
      </c>
      <c r="I93" s="395" t="s">
        <v>1405</v>
      </c>
      <c r="J93" s="395">
        <v>43841593</v>
      </c>
      <c r="K93" s="394" t="s">
        <v>1191</v>
      </c>
      <c r="L93" s="504">
        <v>28865</v>
      </c>
      <c r="M93" s="397">
        <f t="shared" ca="1" si="2"/>
        <v>47</v>
      </c>
      <c r="N93" s="394" t="s">
        <v>73</v>
      </c>
      <c r="O93" s="516">
        <v>3504232733</v>
      </c>
      <c r="P93" s="517" t="s">
        <v>1995</v>
      </c>
      <c r="Q93" s="394" t="s">
        <v>1291</v>
      </c>
      <c r="R93" s="399" t="s">
        <v>891</v>
      </c>
      <c r="S93" s="400" t="s">
        <v>230</v>
      </c>
      <c r="T93" s="507">
        <v>2023</v>
      </c>
      <c r="U93" s="401" t="s">
        <v>160</v>
      </c>
      <c r="V93" s="291" t="s">
        <v>210</v>
      </c>
    </row>
    <row r="94" spans="4:22">
      <c r="E94" s="394">
        <v>80</v>
      </c>
      <c r="F94" s="394" t="s">
        <v>1576</v>
      </c>
      <c r="G94" s="394" t="s">
        <v>151</v>
      </c>
      <c r="H94" s="395" t="s">
        <v>1403</v>
      </c>
      <c r="I94" s="395" t="s">
        <v>1406</v>
      </c>
      <c r="J94" s="395">
        <v>70509684</v>
      </c>
      <c r="K94" s="394" t="s">
        <v>1187</v>
      </c>
      <c r="L94" s="504">
        <v>22260</v>
      </c>
      <c r="M94" s="397">
        <f t="shared" ca="1" si="2"/>
        <v>65</v>
      </c>
      <c r="N94" s="394" t="s">
        <v>73</v>
      </c>
      <c r="O94" s="516">
        <v>3155600379</v>
      </c>
      <c r="P94" s="517" t="s">
        <v>1996</v>
      </c>
      <c r="Q94" s="394" t="s">
        <v>1291</v>
      </c>
      <c r="R94" s="399" t="s">
        <v>164</v>
      </c>
      <c r="S94" s="400" t="s">
        <v>663</v>
      </c>
      <c r="T94" s="507">
        <v>2023</v>
      </c>
      <c r="U94" s="401" t="s">
        <v>160</v>
      </c>
      <c r="V94" s="291" t="s">
        <v>210</v>
      </c>
    </row>
    <row r="95" spans="4:22">
      <c r="E95" s="394">
        <v>80</v>
      </c>
      <c r="F95" s="394" t="s">
        <v>1576</v>
      </c>
      <c r="G95" s="394" t="s">
        <v>151</v>
      </c>
      <c r="H95" s="395" t="s">
        <v>1403</v>
      </c>
      <c r="I95" s="395" t="s">
        <v>1408</v>
      </c>
      <c r="J95" s="395">
        <v>43184065</v>
      </c>
      <c r="K95" s="394" t="s">
        <v>1191</v>
      </c>
      <c r="L95" s="504">
        <v>33981</v>
      </c>
      <c r="M95" s="397">
        <f t="shared" ca="1" si="2"/>
        <v>33</v>
      </c>
      <c r="N95" s="394" t="s">
        <v>56</v>
      </c>
      <c r="O95" s="518">
        <v>3005981636</v>
      </c>
      <c r="P95" s="519" t="s">
        <v>1997</v>
      </c>
      <c r="Q95" s="394" t="s">
        <v>1291</v>
      </c>
      <c r="R95" s="399" t="s">
        <v>333</v>
      </c>
      <c r="S95" s="400" t="s">
        <v>663</v>
      </c>
      <c r="T95" s="520">
        <v>2024</v>
      </c>
      <c r="U95" s="401" t="s">
        <v>160</v>
      </c>
      <c r="V95" s="291" t="s">
        <v>210</v>
      </c>
    </row>
    <row r="96" spans="4:22">
      <c r="E96" s="394">
        <v>80</v>
      </c>
      <c r="F96" s="394" t="s">
        <v>1576</v>
      </c>
      <c r="G96" s="394" t="s">
        <v>151</v>
      </c>
      <c r="H96" s="395" t="s">
        <v>1403</v>
      </c>
      <c r="I96" s="395" t="s">
        <v>1409</v>
      </c>
      <c r="J96" s="395"/>
      <c r="K96" s="394" t="s">
        <v>1187</v>
      </c>
      <c r="L96" s="504"/>
      <c r="M96" s="397"/>
      <c r="N96" s="394" t="s">
        <v>56</v>
      </c>
      <c r="O96" s="518">
        <v>3146824518</v>
      </c>
      <c r="P96" s="521"/>
      <c r="Q96" s="394" t="s">
        <v>1291</v>
      </c>
      <c r="R96" s="399" t="s">
        <v>333</v>
      </c>
      <c r="S96" s="400" t="s">
        <v>663</v>
      </c>
      <c r="T96" s="507">
        <v>2023</v>
      </c>
      <c r="U96" s="401" t="s">
        <v>160</v>
      </c>
      <c r="V96" s="291" t="s">
        <v>210</v>
      </c>
    </row>
  </sheetData>
  <dataValidations count="7">
    <dataValidation type="list" allowBlank="1" showInputMessage="1" showErrorMessage="1" sqref="G3:G96" xr:uid="{CF6B96B9-6ED5-48F5-B25F-EBC8319D7056}">
      <formula1>$A$1:$A$3</formula1>
    </dataValidation>
    <dataValidation type="list" allowBlank="1" showInputMessage="1" showErrorMessage="1" sqref="K3:K96" xr:uid="{F5696776-A44C-4FC2-A198-3155D35AF224}">
      <formula1>$A$4:$A$7</formula1>
    </dataValidation>
    <dataValidation type="list" allowBlank="1" showInputMessage="1" showErrorMessage="1" sqref="N3:N96" xr:uid="{FEE7428D-E651-4446-96F9-1F7B93FC4E8C}">
      <formula1>$A$8:$A$17</formula1>
    </dataValidation>
    <dataValidation type="list" allowBlank="1" showInputMessage="1" showErrorMessage="1" sqref="U3:U96" xr:uid="{5EDD50D4-B1F6-4300-8A48-704FD9EB1515}">
      <formula1>$A$18:$A$20</formula1>
    </dataValidation>
    <dataValidation type="list" allowBlank="1" showInputMessage="1" showErrorMessage="1" sqref="Q3:Q96" xr:uid="{EB3FAFD0-5802-4A47-AC5C-F94F03B84BC4}">
      <formula1>$A$21:$A$31</formula1>
    </dataValidation>
    <dataValidation type="list" allowBlank="1" showInputMessage="1" showErrorMessage="1" sqref="R3:R96" xr:uid="{A695E821-7171-48E7-8CE0-0500DE4FB50F}">
      <formula1>$B$5:$B$11</formula1>
    </dataValidation>
    <dataValidation type="list" allowBlank="1" showInputMessage="1" showErrorMessage="1" sqref="S3:S96" xr:uid="{942874C3-0E1A-486B-9B9A-1E0853890B97}">
      <formula1>$B$13:$B$39</formula1>
    </dataValidation>
  </dataValidations>
  <hyperlinks>
    <hyperlink ref="P24" r:id="rId1" xr:uid="{00000000-0004-0000-1200-000000000000}"/>
    <hyperlink ref="P25" r:id="rId2" xr:uid="{00000000-0004-0000-1200-000001000000}"/>
    <hyperlink ref="P26" r:id="rId3" xr:uid="{00000000-0004-0000-1200-000002000000}"/>
    <hyperlink ref="P27" r:id="rId4" xr:uid="{00000000-0004-0000-1200-000003000000}"/>
    <hyperlink ref="P28" r:id="rId5" xr:uid="{00000000-0004-0000-1200-000004000000}"/>
    <hyperlink ref="P29" r:id="rId6" xr:uid="{00000000-0004-0000-1200-000005000000}"/>
    <hyperlink ref="P30" r:id="rId7" xr:uid="{00000000-0004-0000-1200-000006000000}"/>
    <hyperlink ref="P31" r:id="rId8" xr:uid="{00000000-0004-0000-1200-000007000000}"/>
    <hyperlink ref="P32" r:id="rId9" xr:uid="{00000000-0004-0000-1200-000008000000}"/>
    <hyperlink ref="P33" r:id="rId10" xr:uid="{00000000-0004-0000-1200-000009000000}"/>
    <hyperlink ref="P34" r:id="rId11" xr:uid="{00000000-0004-0000-1200-00000A000000}"/>
    <hyperlink ref="P35" r:id="rId12" xr:uid="{00000000-0004-0000-1200-00000B000000}"/>
    <hyperlink ref="P36" r:id="rId13" xr:uid="{00000000-0004-0000-1200-00000C000000}"/>
    <hyperlink ref="P37" r:id="rId14" xr:uid="{00000000-0004-0000-1200-00000D000000}"/>
    <hyperlink ref="P39" r:id="rId15" xr:uid="{00000000-0004-0000-1200-00000E000000}"/>
    <hyperlink ref="P40" r:id="rId16" xr:uid="{00000000-0004-0000-1200-00000F000000}"/>
    <hyperlink ref="P41" r:id="rId17" xr:uid="{00000000-0004-0000-1200-000010000000}"/>
    <hyperlink ref="P42" r:id="rId18" xr:uid="{00000000-0004-0000-1200-000011000000}"/>
    <hyperlink ref="P43" r:id="rId19" xr:uid="{00000000-0004-0000-1200-000012000000}"/>
    <hyperlink ref="P55" r:id="rId20" xr:uid="{00000000-0004-0000-1200-000013000000}"/>
    <hyperlink ref="P56" r:id="rId21" xr:uid="{00000000-0004-0000-1200-000014000000}"/>
    <hyperlink ref="P57" r:id="rId22" xr:uid="{00000000-0004-0000-1200-000015000000}"/>
    <hyperlink ref="P59" r:id="rId23" xr:uid="{00000000-0004-0000-1200-000016000000}"/>
    <hyperlink ref="P61" r:id="rId24" xr:uid="{00000000-0004-0000-1200-000017000000}"/>
    <hyperlink ref="P62" r:id="rId25" xr:uid="{00000000-0004-0000-1200-000018000000}"/>
    <hyperlink ref="P68" r:id="rId26" xr:uid="{00000000-0004-0000-1200-000019000000}"/>
    <hyperlink ref="P70" r:id="rId27" xr:uid="{00000000-0004-0000-1200-00001A000000}"/>
    <hyperlink ref="P71" r:id="rId28" xr:uid="{00000000-0004-0000-1200-00001B000000}"/>
    <hyperlink ref="P72" r:id="rId29" xr:uid="{00000000-0004-0000-1200-00001C000000}"/>
    <hyperlink ref="P74" r:id="rId30" xr:uid="{00000000-0004-0000-1200-00001D000000}"/>
    <hyperlink ref="P75" r:id="rId31" xr:uid="{00000000-0004-0000-1200-00001E000000}"/>
    <hyperlink ref="P76" r:id="rId32" xr:uid="{00000000-0004-0000-1200-00001F000000}"/>
    <hyperlink ref="P77" r:id="rId33" xr:uid="{00000000-0004-0000-1200-000020000000}"/>
    <hyperlink ref="P73" r:id="rId34" xr:uid="{00000000-0004-0000-1200-000021000000}"/>
    <hyperlink ref="P78" r:id="rId35" xr:uid="{00000000-0004-0000-1200-000022000000}"/>
    <hyperlink ref="P79" r:id="rId36" xr:uid="{00000000-0004-0000-1200-000023000000}"/>
    <hyperlink ref="P80" r:id="rId37" xr:uid="{00000000-0004-0000-1200-000024000000}"/>
    <hyperlink ref="P81" r:id="rId38" xr:uid="{00000000-0004-0000-1200-000025000000}"/>
    <hyperlink ref="P82" r:id="rId39" xr:uid="{00000000-0004-0000-1200-000026000000}"/>
    <hyperlink ref="P83" r:id="rId40" xr:uid="{00000000-0004-0000-1200-000027000000}"/>
    <hyperlink ref="P88" r:id="rId41" xr:uid="{00000000-0004-0000-1200-000028000000}"/>
    <hyperlink ref="P89" r:id="rId42" xr:uid="{00000000-0004-0000-1200-000029000000}"/>
    <hyperlink ref="P90" r:id="rId43" xr:uid="{00000000-0004-0000-1200-00002A000000}"/>
    <hyperlink ref="P92" r:id="rId44" xr:uid="{00000000-0004-0000-1200-00002B000000}"/>
    <hyperlink ref="P93" r:id="rId45" xr:uid="{00000000-0004-0000-1200-00002C000000}"/>
    <hyperlink ref="P94" r:id="rId46" xr:uid="{00000000-0004-0000-1200-00002D000000}"/>
    <hyperlink ref="P91" r:id="rId47" xr:uid="{00000000-0004-0000-1200-00002E000000}"/>
    <hyperlink ref="P95" r:id="rId48" xr:uid="{00000000-0004-0000-1200-00002F000000}"/>
  </hyperlinks>
  <pageMargins left="0.7" right="0.7" top="0.75" bottom="0.75" header="0.3" footer="0.3"/>
  <tableParts count="1">
    <tablePart r:id="rId4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8368-C210-42D8-9F0E-0C82093BD13D}">
  <dimension ref="A2:V68"/>
  <sheetViews>
    <sheetView topLeftCell="D1" zoomScale="51" workbookViewId="0">
      <selection activeCell="U1" sqref="U1"/>
    </sheetView>
  </sheetViews>
  <sheetFormatPr baseColWidth="10" defaultColWidth="11.5546875" defaultRowHeight="14.4"/>
  <cols>
    <col min="1" max="1" width="22.6640625" style="132" bestFit="1" customWidth="1"/>
    <col min="2" max="3" width="22.6640625" style="132" customWidth="1"/>
    <col min="4" max="4" width="7.109375" style="132" customWidth="1"/>
    <col min="5" max="5" width="12" style="132" customWidth="1"/>
    <col min="6" max="6" width="26.33203125" style="132" bestFit="1" customWidth="1"/>
    <col min="7" max="7" width="22.6640625" style="132" customWidth="1"/>
    <col min="8" max="8" width="20.33203125" style="132" customWidth="1"/>
    <col min="9" max="9" width="36.6640625" style="132" bestFit="1" customWidth="1"/>
    <col min="10" max="10" width="23.33203125" style="132" customWidth="1"/>
    <col min="11" max="11" width="11.5546875" style="132"/>
    <col min="12" max="12" width="25.33203125" style="132" customWidth="1"/>
    <col min="13" max="13" width="11.6640625" style="132" bestFit="1" customWidth="1"/>
    <col min="14" max="14" width="19.33203125" style="132" customWidth="1"/>
    <col min="15" max="15" width="30.44140625" style="132" bestFit="1" customWidth="1"/>
    <col min="16" max="16" width="23.109375" style="132" customWidth="1"/>
    <col min="17" max="17" width="23.33203125" style="132" bestFit="1" customWidth="1"/>
    <col min="18" max="18" width="14.33203125" style="132" customWidth="1"/>
    <col min="19" max="19" width="20.33203125" style="132" customWidth="1"/>
    <col min="20" max="20" width="32.88671875" style="132" customWidth="1"/>
    <col min="21" max="21" width="31.44140625" style="132" customWidth="1"/>
    <col min="22" max="16384" width="11.5546875" style="132"/>
  </cols>
  <sheetData>
    <row r="2" spans="1:22">
      <c r="A2" s="144" t="s">
        <v>151</v>
      </c>
      <c r="B2" s="144"/>
      <c r="C2" s="144"/>
      <c r="D2" s="153" t="s">
        <v>417</v>
      </c>
      <c r="E2" s="153" t="s">
        <v>2288</v>
      </c>
      <c r="F2" s="138" t="s">
        <v>1854</v>
      </c>
      <c r="G2" s="138" t="s">
        <v>1584</v>
      </c>
      <c r="H2" s="138" t="s">
        <v>418</v>
      </c>
      <c r="I2" s="138" t="s">
        <v>1410</v>
      </c>
      <c r="J2" s="138" t="s">
        <v>5</v>
      </c>
      <c r="K2" s="138" t="s">
        <v>6</v>
      </c>
      <c r="L2" s="138" t="s">
        <v>7</v>
      </c>
      <c r="M2" s="138" t="s">
        <v>8</v>
      </c>
      <c r="N2" s="138" t="s">
        <v>9</v>
      </c>
      <c r="O2" s="138" t="s">
        <v>1589</v>
      </c>
      <c r="P2" s="138" t="s">
        <v>11</v>
      </c>
      <c r="Q2" s="138" t="s">
        <v>12</v>
      </c>
      <c r="R2" s="138" t="s">
        <v>14</v>
      </c>
      <c r="S2" s="138" t="s">
        <v>16</v>
      </c>
      <c r="T2" s="138" t="s">
        <v>1590</v>
      </c>
      <c r="U2" s="151" t="s">
        <v>18</v>
      </c>
      <c r="V2" s="553" t="s">
        <v>20</v>
      </c>
    </row>
    <row r="3" spans="1:22" ht="15.6">
      <c r="A3" s="144" t="s">
        <v>129</v>
      </c>
      <c r="B3" s="144"/>
      <c r="C3" s="144"/>
      <c r="D3" s="761" t="s">
        <v>2290</v>
      </c>
      <c r="E3" s="763">
        <v>90</v>
      </c>
      <c r="F3" s="755" t="s">
        <v>1577</v>
      </c>
      <c r="G3" s="763" t="s">
        <v>151</v>
      </c>
      <c r="H3" s="929" t="s">
        <v>1411</v>
      </c>
      <c r="I3" s="929" t="s">
        <v>1412</v>
      </c>
      <c r="J3" s="930">
        <v>1034657013</v>
      </c>
      <c r="K3" s="763" t="s">
        <v>1187</v>
      </c>
      <c r="L3" s="765">
        <v>38105</v>
      </c>
      <c r="M3" s="766">
        <f ca="1">DATEDIF(L3,TODAY(),"Y")</f>
        <v>22</v>
      </c>
      <c r="N3" s="763" t="s">
        <v>1588</v>
      </c>
      <c r="O3" s="931">
        <v>3007071660</v>
      </c>
      <c r="P3" s="932" t="s">
        <v>1413</v>
      </c>
      <c r="Q3" s="763"/>
      <c r="R3" s="821" t="s">
        <v>192</v>
      </c>
      <c r="S3" s="822" t="s">
        <v>663</v>
      </c>
      <c r="T3" s="933">
        <v>45918</v>
      </c>
      <c r="U3" s="768" t="s">
        <v>166</v>
      </c>
      <c r="V3" s="761" t="s">
        <v>210</v>
      </c>
    </row>
    <row r="4" spans="1:22" ht="15">
      <c r="E4" s="438">
        <v>90</v>
      </c>
      <c r="F4" s="200" t="s">
        <v>1577</v>
      </c>
      <c r="G4" s="438" t="s">
        <v>151</v>
      </c>
      <c r="H4" s="524" t="s">
        <v>1411</v>
      </c>
      <c r="I4" s="524" t="s">
        <v>1414</v>
      </c>
      <c r="J4" s="523">
        <v>1034657014</v>
      </c>
      <c r="K4" s="438" t="s">
        <v>1187</v>
      </c>
      <c r="L4" s="191">
        <v>38105</v>
      </c>
      <c r="M4" s="439">
        <f ca="1">DATEDIF(L4,TODAY(),"Y")</f>
        <v>22</v>
      </c>
      <c r="N4" s="438" t="s">
        <v>1588</v>
      </c>
      <c r="O4" s="525">
        <v>3012814509</v>
      </c>
      <c r="P4" s="524" t="s">
        <v>1415</v>
      </c>
      <c r="Q4" s="438"/>
      <c r="R4" s="234" t="s">
        <v>164</v>
      </c>
      <c r="S4" s="235" t="s">
        <v>663</v>
      </c>
      <c r="T4" s="537">
        <v>45918</v>
      </c>
      <c r="U4" s="468" t="s">
        <v>160</v>
      </c>
      <c r="V4" s="144" t="s">
        <v>210</v>
      </c>
    </row>
    <row r="5" spans="1:22" ht="15.6">
      <c r="A5" s="144" t="s">
        <v>1191</v>
      </c>
      <c r="B5" t="s">
        <v>333</v>
      </c>
      <c r="C5"/>
      <c r="D5" s="144"/>
      <c r="E5" s="438">
        <v>90</v>
      </c>
      <c r="F5" s="200" t="s">
        <v>1577</v>
      </c>
      <c r="G5" s="438" t="s">
        <v>151</v>
      </c>
      <c r="H5" s="524" t="s">
        <v>1411</v>
      </c>
      <c r="I5" s="524" t="s">
        <v>1416</v>
      </c>
      <c r="J5" s="523">
        <v>1039096803</v>
      </c>
      <c r="K5" s="438" t="s">
        <v>1191</v>
      </c>
      <c r="L5" s="191">
        <v>38792</v>
      </c>
      <c r="M5" s="439">
        <f t="shared" ref="M5:M68" ca="1" si="0">DATEDIF(L5,TODAY(),"Y")</f>
        <v>20</v>
      </c>
      <c r="N5" s="438" t="s">
        <v>1588</v>
      </c>
      <c r="O5" s="525">
        <v>3004305624</v>
      </c>
      <c r="P5" s="524" t="s">
        <v>1417</v>
      </c>
      <c r="Q5" s="438"/>
      <c r="R5" s="234" t="s">
        <v>192</v>
      </c>
      <c r="S5" s="235" t="s">
        <v>663</v>
      </c>
      <c r="T5" s="537">
        <v>45918</v>
      </c>
      <c r="U5" s="468" t="s">
        <v>160</v>
      </c>
      <c r="V5" s="144" t="s">
        <v>210</v>
      </c>
    </row>
    <row r="6" spans="1:22" ht="15.6">
      <c r="A6" s="144" t="s">
        <v>1187</v>
      </c>
      <c r="B6" t="s">
        <v>164</v>
      </c>
      <c r="C6"/>
      <c r="D6" s="144"/>
      <c r="E6" s="438">
        <v>90</v>
      </c>
      <c r="F6" s="200" t="s">
        <v>1577</v>
      </c>
      <c r="G6" s="438" t="s">
        <v>151</v>
      </c>
      <c r="H6" s="524" t="s">
        <v>1411</v>
      </c>
      <c r="I6" s="524" t="s">
        <v>1418</v>
      </c>
      <c r="J6" s="523">
        <v>71312084</v>
      </c>
      <c r="K6" s="438" t="s">
        <v>1187</v>
      </c>
      <c r="L6" s="191">
        <v>29172</v>
      </c>
      <c r="M6" s="439">
        <f t="shared" ca="1" si="0"/>
        <v>46</v>
      </c>
      <c r="N6" s="438" t="s">
        <v>1588</v>
      </c>
      <c r="O6" s="525">
        <v>3154339838</v>
      </c>
      <c r="P6" s="524" t="s">
        <v>1419</v>
      </c>
      <c r="Q6" s="438"/>
      <c r="R6" s="234" t="s">
        <v>164</v>
      </c>
      <c r="S6" s="235" t="s">
        <v>663</v>
      </c>
      <c r="T6" s="537">
        <v>45918</v>
      </c>
      <c r="U6" s="468" t="s">
        <v>160</v>
      </c>
      <c r="V6" s="144" t="s">
        <v>210</v>
      </c>
    </row>
    <row r="7" spans="1:22" ht="15.6">
      <c r="A7" s="144" t="s">
        <v>1585</v>
      </c>
      <c r="B7" t="s">
        <v>321</v>
      </c>
      <c r="C7"/>
      <c r="D7" s="144"/>
      <c r="E7" s="438">
        <v>90</v>
      </c>
      <c r="F7" s="200" t="s">
        <v>1577</v>
      </c>
      <c r="G7" s="438" t="s">
        <v>151</v>
      </c>
      <c r="H7" s="524" t="s">
        <v>1411</v>
      </c>
      <c r="I7" s="524" t="s">
        <v>1420</v>
      </c>
      <c r="J7" s="523">
        <v>1000089073</v>
      </c>
      <c r="K7" s="438" t="s">
        <v>1191</v>
      </c>
      <c r="L7" s="191">
        <v>36625</v>
      </c>
      <c r="M7" s="439">
        <f t="shared" ca="1" si="0"/>
        <v>26</v>
      </c>
      <c r="N7" s="438" t="s">
        <v>1588</v>
      </c>
      <c r="O7" s="525" t="s">
        <v>1421</v>
      </c>
      <c r="P7" s="524" t="s">
        <v>1422</v>
      </c>
      <c r="Q7" s="438"/>
      <c r="R7" s="234" t="s">
        <v>891</v>
      </c>
      <c r="S7" s="235" t="s">
        <v>1585</v>
      </c>
      <c r="T7" s="537">
        <v>45918</v>
      </c>
      <c r="U7" s="468" t="s">
        <v>160</v>
      </c>
      <c r="V7" s="144" t="s">
        <v>210</v>
      </c>
    </row>
    <row r="8" spans="1:22" ht="15.6">
      <c r="B8" t="s">
        <v>192</v>
      </c>
      <c r="C8"/>
      <c r="E8" s="438">
        <v>90</v>
      </c>
      <c r="F8" s="200" t="s">
        <v>1577</v>
      </c>
      <c r="G8" s="438" t="s">
        <v>151</v>
      </c>
      <c r="H8" s="524" t="s">
        <v>1411</v>
      </c>
      <c r="I8" s="524" t="s">
        <v>1423</v>
      </c>
      <c r="J8" s="523">
        <v>1038804088</v>
      </c>
      <c r="K8" s="438" t="s">
        <v>1191</v>
      </c>
      <c r="L8" s="191">
        <v>39928</v>
      </c>
      <c r="M8" s="439">
        <f t="shared" ca="1" si="0"/>
        <v>17</v>
      </c>
      <c r="N8" s="438" t="s">
        <v>1588</v>
      </c>
      <c r="O8" s="525">
        <v>3116636323</v>
      </c>
      <c r="P8" s="524" t="s">
        <v>1424</v>
      </c>
      <c r="Q8" s="438"/>
      <c r="R8" s="234" t="s">
        <v>164</v>
      </c>
      <c r="S8" s="235" t="s">
        <v>1585</v>
      </c>
      <c r="T8" s="537">
        <v>45918</v>
      </c>
      <c r="U8" s="468" t="s">
        <v>160</v>
      </c>
      <c r="V8" s="144" t="s">
        <v>210</v>
      </c>
    </row>
    <row r="9" spans="1:22" ht="15.6">
      <c r="A9" s="144" t="s">
        <v>56</v>
      </c>
      <c r="B9" t="s">
        <v>876</v>
      </c>
      <c r="C9"/>
      <c r="D9" s="761" t="s">
        <v>2290</v>
      </c>
      <c r="E9" s="763">
        <v>90</v>
      </c>
      <c r="F9" s="755" t="s">
        <v>1577</v>
      </c>
      <c r="G9" s="763" t="s">
        <v>151</v>
      </c>
      <c r="H9" s="929" t="s">
        <v>1425</v>
      </c>
      <c r="I9" s="929" t="s">
        <v>1434</v>
      </c>
      <c r="J9" s="934">
        <v>1017160534</v>
      </c>
      <c r="K9" s="763" t="s">
        <v>1191</v>
      </c>
      <c r="L9" s="765">
        <v>32047</v>
      </c>
      <c r="M9" s="766">
        <f t="shared" ca="1" si="0"/>
        <v>38</v>
      </c>
      <c r="N9" s="763" t="s">
        <v>1588</v>
      </c>
      <c r="O9" s="935">
        <v>3137150000</v>
      </c>
      <c r="P9" s="936" t="s">
        <v>1435</v>
      </c>
      <c r="Q9" s="763"/>
      <c r="R9" s="821" t="s">
        <v>164</v>
      </c>
      <c r="S9" s="822" t="s">
        <v>663</v>
      </c>
      <c r="T9" s="933">
        <v>45916</v>
      </c>
      <c r="U9" s="768" t="s">
        <v>166</v>
      </c>
      <c r="V9" s="761" t="s">
        <v>210</v>
      </c>
    </row>
    <row r="10" spans="1:22" ht="15.6">
      <c r="A10" s="144" t="s">
        <v>212</v>
      </c>
      <c r="B10" t="s">
        <v>891</v>
      </c>
      <c r="C10"/>
      <c r="D10" s="144"/>
      <c r="E10" s="440">
        <v>90</v>
      </c>
      <c r="F10" s="195" t="s">
        <v>1577</v>
      </c>
      <c r="G10" s="440" t="s">
        <v>151</v>
      </c>
      <c r="H10" s="527" t="s">
        <v>1425</v>
      </c>
      <c r="I10" s="527" t="s">
        <v>1426</v>
      </c>
      <c r="J10" s="526">
        <v>1001137800</v>
      </c>
      <c r="K10" s="440" t="s">
        <v>1191</v>
      </c>
      <c r="L10" s="177">
        <v>36904</v>
      </c>
      <c r="M10" s="441">
        <f t="shared" ca="1" si="0"/>
        <v>25</v>
      </c>
      <c r="N10" s="440" t="s">
        <v>1588</v>
      </c>
      <c r="O10" s="528">
        <v>3127072565</v>
      </c>
      <c r="P10" s="527" t="s">
        <v>1427</v>
      </c>
      <c r="Q10" s="440"/>
      <c r="R10" s="236" t="s">
        <v>164</v>
      </c>
      <c r="S10" s="237" t="s">
        <v>193</v>
      </c>
      <c r="T10" s="538">
        <v>45916</v>
      </c>
      <c r="U10" s="469" t="s">
        <v>160</v>
      </c>
      <c r="V10" s="144" t="s">
        <v>210</v>
      </c>
    </row>
    <row r="11" spans="1:22" ht="15.6">
      <c r="A11" s="144" t="s">
        <v>73</v>
      </c>
      <c r="B11" t="s">
        <v>1585</v>
      </c>
      <c r="C11"/>
      <c r="D11" s="143"/>
      <c r="E11" s="440">
        <v>90</v>
      </c>
      <c r="F11" s="195" t="s">
        <v>1577</v>
      </c>
      <c r="G11" s="440" t="s">
        <v>151</v>
      </c>
      <c r="H11" s="527" t="s">
        <v>1425</v>
      </c>
      <c r="I11" s="527" t="s">
        <v>1428</v>
      </c>
      <c r="J11" s="526">
        <v>1128447978</v>
      </c>
      <c r="K11" s="440" t="s">
        <v>1191</v>
      </c>
      <c r="L11" s="177">
        <v>32150</v>
      </c>
      <c r="M11" s="441">
        <f t="shared" ca="1" si="0"/>
        <v>38</v>
      </c>
      <c r="N11" s="440" t="s">
        <v>1588</v>
      </c>
      <c r="O11" s="528" t="s">
        <v>1429</v>
      </c>
      <c r="P11" s="527" t="s">
        <v>369</v>
      </c>
      <c r="Q11" s="440"/>
      <c r="R11" s="236" t="s">
        <v>164</v>
      </c>
      <c r="S11" s="237" t="s">
        <v>663</v>
      </c>
      <c r="T11" s="538">
        <v>45916</v>
      </c>
      <c r="U11" s="469" t="s">
        <v>160</v>
      </c>
      <c r="V11" s="144" t="s">
        <v>210</v>
      </c>
    </row>
    <row r="12" spans="1:22" ht="15">
      <c r="A12" s="144" t="s">
        <v>272</v>
      </c>
      <c r="B12" s="144"/>
      <c r="C12" s="144"/>
      <c r="D12" s="144"/>
      <c r="E12" s="440">
        <v>90</v>
      </c>
      <c r="F12" s="195" t="s">
        <v>1577</v>
      </c>
      <c r="G12" s="440" t="s">
        <v>151</v>
      </c>
      <c r="H12" s="527" t="s">
        <v>1425</v>
      </c>
      <c r="I12" s="527" t="s">
        <v>1430</v>
      </c>
      <c r="J12" s="526">
        <v>1017137079</v>
      </c>
      <c r="K12" s="440" t="s">
        <v>1191</v>
      </c>
      <c r="L12" s="177">
        <v>31421</v>
      </c>
      <c r="M12" s="441">
        <f t="shared" ca="1" si="0"/>
        <v>40</v>
      </c>
      <c r="N12" s="440" t="s">
        <v>1588</v>
      </c>
      <c r="O12" s="528">
        <v>3216433149</v>
      </c>
      <c r="P12" s="527" t="s">
        <v>1431</v>
      </c>
      <c r="Q12" s="440"/>
      <c r="R12" s="236" t="s">
        <v>164</v>
      </c>
      <c r="S12" s="237" t="s">
        <v>663</v>
      </c>
      <c r="T12" s="538">
        <v>45916</v>
      </c>
      <c r="U12" s="469" t="s">
        <v>160</v>
      </c>
      <c r="V12" s="144" t="s">
        <v>210</v>
      </c>
    </row>
    <row r="13" spans="1:22" ht="15.6">
      <c r="A13" s="144" t="s">
        <v>114</v>
      </c>
      <c r="B13" s="171" t="s">
        <v>461</v>
      </c>
      <c r="C13" s="171"/>
      <c r="D13" s="144"/>
      <c r="E13" s="440">
        <v>90</v>
      </c>
      <c r="F13" s="195" t="s">
        <v>1577</v>
      </c>
      <c r="G13" s="440" t="s">
        <v>151</v>
      </c>
      <c r="H13" s="527" t="s">
        <v>1425</v>
      </c>
      <c r="I13" s="527" t="s">
        <v>1432</v>
      </c>
      <c r="J13" s="526">
        <v>1035917410</v>
      </c>
      <c r="K13" s="440" t="s">
        <v>1191</v>
      </c>
      <c r="L13" s="177">
        <v>29245</v>
      </c>
      <c r="M13" s="441">
        <f t="shared" ca="1" si="0"/>
        <v>46</v>
      </c>
      <c r="N13" s="440" t="s">
        <v>1588</v>
      </c>
      <c r="O13" s="528">
        <v>3133397299</v>
      </c>
      <c r="P13" s="527" t="s">
        <v>1433</v>
      </c>
      <c r="Q13" s="440"/>
      <c r="R13" s="236" t="s">
        <v>164</v>
      </c>
      <c r="S13" s="237" t="s">
        <v>663</v>
      </c>
      <c r="T13" s="538">
        <v>45916</v>
      </c>
      <c r="U13" s="469" t="s">
        <v>160</v>
      </c>
      <c r="V13" s="144" t="s">
        <v>210</v>
      </c>
    </row>
    <row r="14" spans="1:22" ht="15.6">
      <c r="A14" s="144" t="s">
        <v>1586</v>
      </c>
      <c r="B14" s="171" t="s">
        <v>663</v>
      </c>
      <c r="C14" s="171"/>
      <c r="D14" s="144"/>
      <c r="E14" s="440">
        <v>90</v>
      </c>
      <c r="F14" s="195" t="s">
        <v>1577</v>
      </c>
      <c r="G14" s="440" t="s">
        <v>151</v>
      </c>
      <c r="H14" s="527" t="s">
        <v>1425</v>
      </c>
      <c r="I14" s="527" t="s">
        <v>1436</v>
      </c>
      <c r="J14" s="526">
        <v>1001138967</v>
      </c>
      <c r="K14" s="440" t="s">
        <v>1191</v>
      </c>
      <c r="L14" s="177">
        <v>37647</v>
      </c>
      <c r="M14" s="441">
        <f t="shared" ca="1" si="0"/>
        <v>23</v>
      </c>
      <c r="N14" s="440" t="s">
        <v>1588</v>
      </c>
      <c r="O14" s="528">
        <v>3135573163</v>
      </c>
      <c r="P14" s="527" t="s">
        <v>1437</v>
      </c>
      <c r="Q14" s="440"/>
      <c r="R14" s="236" t="s">
        <v>164</v>
      </c>
      <c r="S14" s="237" t="s">
        <v>663</v>
      </c>
      <c r="T14" s="538">
        <v>45916</v>
      </c>
      <c r="U14" s="469" t="s">
        <v>160</v>
      </c>
      <c r="V14" s="144" t="s">
        <v>210</v>
      </c>
    </row>
    <row r="15" spans="1:22" ht="15.6">
      <c r="A15" s="144" t="s">
        <v>227</v>
      </c>
      <c r="B15" s="171" t="s">
        <v>170</v>
      </c>
      <c r="C15" s="171"/>
      <c r="D15" s="144"/>
      <c r="E15" s="440">
        <v>90</v>
      </c>
      <c r="F15" s="195" t="s">
        <v>1577</v>
      </c>
      <c r="G15" s="440" t="s">
        <v>151</v>
      </c>
      <c r="H15" s="527" t="s">
        <v>1425</v>
      </c>
      <c r="I15" s="527" t="s">
        <v>1438</v>
      </c>
      <c r="J15" s="526">
        <v>1036626389</v>
      </c>
      <c r="K15" s="440" t="s">
        <v>1191</v>
      </c>
      <c r="L15" s="177">
        <v>32775</v>
      </c>
      <c r="M15" s="441">
        <f t="shared" ca="1" si="0"/>
        <v>36</v>
      </c>
      <c r="N15" s="440" t="s">
        <v>1588</v>
      </c>
      <c r="O15" s="528" t="s">
        <v>1439</v>
      </c>
      <c r="P15" s="527" t="s">
        <v>369</v>
      </c>
      <c r="Q15" s="440"/>
      <c r="R15" s="236" t="s">
        <v>164</v>
      </c>
      <c r="S15" s="237" t="s">
        <v>663</v>
      </c>
      <c r="T15" s="538">
        <v>45922</v>
      </c>
      <c r="U15" s="469" t="s">
        <v>160</v>
      </c>
      <c r="V15" s="144" t="s">
        <v>210</v>
      </c>
    </row>
    <row r="16" spans="1:22" ht="15.6">
      <c r="A16" s="144" t="s">
        <v>1587</v>
      </c>
      <c r="B16" s="171" t="s">
        <v>193</v>
      </c>
      <c r="C16" s="171"/>
      <c r="D16" s="761" t="s">
        <v>2290</v>
      </c>
      <c r="E16" s="763">
        <v>90</v>
      </c>
      <c r="F16" s="755" t="s">
        <v>1577</v>
      </c>
      <c r="G16" s="763" t="s">
        <v>151</v>
      </c>
      <c r="H16" s="929" t="s">
        <v>1440</v>
      </c>
      <c r="I16" s="929" t="s">
        <v>1443</v>
      </c>
      <c r="J16" s="930">
        <v>1036925118</v>
      </c>
      <c r="K16" s="763" t="s">
        <v>1191</v>
      </c>
      <c r="L16" s="765">
        <v>31495</v>
      </c>
      <c r="M16" s="766">
        <f t="shared" ca="1" si="0"/>
        <v>40</v>
      </c>
      <c r="N16" s="763" t="s">
        <v>1588</v>
      </c>
      <c r="O16" s="931">
        <v>3017141692</v>
      </c>
      <c r="P16" s="929" t="s">
        <v>1444</v>
      </c>
      <c r="Q16" s="763" t="s">
        <v>1440</v>
      </c>
      <c r="R16" s="821" t="s">
        <v>164</v>
      </c>
      <c r="S16" s="822" t="s">
        <v>663</v>
      </c>
      <c r="T16" s="933">
        <v>45922</v>
      </c>
      <c r="U16" s="768" t="s">
        <v>166</v>
      </c>
      <c r="V16" s="761" t="s">
        <v>210</v>
      </c>
    </row>
    <row r="17" spans="1:22" ht="15.6">
      <c r="A17" s="144" t="s">
        <v>1588</v>
      </c>
      <c r="B17" s="171" t="s">
        <v>1881</v>
      </c>
      <c r="C17" s="171"/>
      <c r="E17" s="442">
        <v>90</v>
      </c>
      <c r="F17" s="196" t="s">
        <v>1577</v>
      </c>
      <c r="G17" s="442" t="s">
        <v>151</v>
      </c>
      <c r="H17" s="530" t="s">
        <v>1440</v>
      </c>
      <c r="I17" s="530" t="s">
        <v>1441</v>
      </c>
      <c r="J17" s="529">
        <v>43526225</v>
      </c>
      <c r="K17" s="442" t="s">
        <v>1191</v>
      </c>
      <c r="L17" s="178">
        <v>24935</v>
      </c>
      <c r="M17" s="443">
        <f t="shared" ca="1" si="0"/>
        <v>58</v>
      </c>
      <c r="N17" s="442" t="s">
        <v>1588</v>
      </c>
      <c r="O17" s="531">
        <v>3207371374</v>
      </c>
      <c r="P17" s="530" t="s">
        <v>1442</v>
      </c>
      <c r="Q17" s="442" t="s">
        <v>1440</v>
      </c>
      <c r="R17" s="284" t="s">
        <v>164</v>
      </c>
      <c r="S17" s="285" t="s">
        <v>193</v>
      </c>
      <c r="T17" s="539">
        <v>45922</v>
      </c>
      <c r="U17" s="470" t="s">
        <v>160</v>
      </c>
      <c r="V17" s="144" t="s">
        <v>210</v>
      </c>
    </row>
    <row r="18" spans="1:22" ht="15.6">
      <c r="B18" s="171" t="s">
        <v>1882</v>
      </c>
      <c r="C18" s="171"/>
      <c r="D18" s="143"/>
      <c r="E18" s="442">
        <v>90</v>
      </c>
      <c r="F18" s="196" t="s">
        <v>1577</v>
      </c>
      <c r="G18" s="442" t="s">
        <v>151</v>
      </c>
      <c r="H18" s="530" t="s">
        <v>1440</v>
      </c>
      <c r="I18" s="530" t="s">
        <v>1445</v>
      </c>
      <c r="J18" s="529">
        <v>43640838</v>
      </c>
      <c r="K18" s="442" t="s">
        <v>1191</v>
      </c>
      <c r="L18" s="178">
        <v>28438</v>
      </c>
      <c r="M18" s="443">
        <f t="shared" ca="1" si="0"/>
        <v>48</v>
      </c>
      <c r="N18" s="442" t="s">
        <v>1588</v>
      </c>
      <c r="O18" s="532">
        <v>3197809682</v>
      </c>
      <c r="P18" s="530" t="s">
        <v>1446</v>
      </c>
      <c r="Q18" s="442" t="s">
        <v>1440</v>
      </c>
      <c r="R18" s="284" t="s">
        <v>891</v>
      </c>
      <c r="S18" s="285" t="s">
        <v>663</v>
      </c>
      <c r="T18" s="539">
        <v>45922</v>
      </c>
      <c r="U18" s="470" t="s">
        <v>160</v>
      </c>
      <c r="V18" s="144" t="s">
        <v>210</v>
      </c>
    </row>
    <row r="19" spans="1:22" ht="15.6">
      <c r="A19" s="144" t="s">
        <v>160</v>
      </c>
      <c r="B19" s="171" t="s">
        <v>405</v>
      </c>
      <c r="C19" s="171"/>
      <c r="D19" s="144"/>
      <c r="E19" s="442">
        <v>90</v>
      </c>
      <c r="F19" s="196" t="s">
        <v>1577</v>
      </c>
      <c r="G19" s="442" t="s">
        <v>151</v>
      </c>
      <c r="H19" s="530" t="s">
        <v>1440</v>
      </c>
      <c r="I19" s="530" t="s">
        <v>1447</v>
      </c>
      <c r="J19" s="529">
        <v>43736717</v>
      </c>
      <c r="K19" s="442" t="s">
        <v>1191</v>
      </c>
      <c r="L19" s="178">
        <v>26608</v>
      </c>
      <c r="M19" s="443">
        <f t="shared" ca="1" si="0"/>
        <v>53</v>
      </c>
      <c r="N19" s="442" t="s">
        <v>1588</v>
      </c>
      <c r="O19" s="532" t="s">
        <v>1448</v>
      </c>
      <c r="P19" s="530" t="s">
        <v>1449</v>
      </c>
      <c r="Q19" s="442" t="s">
        <v>1440</v>
      </c>
      <c r="R19" s="284" t="s">
        <v>891</v>
      </c>
      <c r="S19" s="285" t="s">
        <v>663</v>
      </c>
      <c r="T19" s="539">
        <v>45952</v>
      </c>
      <c r="U19" s="470" t="s">
        <v>160</v>
      </c>
      <c r="V19" s="144" t="s">
        <v>210</v>
      </c>
    </row>
    <row r="20" spans="1:22" ht="15.6">
      <c r="A20" s="144" t="s">
        <v>166</v>
      </c>
      <c r="B20" s="171" t="s">
        <v>1883</v>
      </c>
      <c r="C20" s="171"/>
      <c r="D20" s="144"/>
      <c r="E20" s="442">
        <v>90</v>
      </c>
      <c r="F20" s="196" t="s">
        <v>1577</v>
      </c>
      <c r="G20" s="442" t="s">
        <v>151</v>
      </c>
      <c r="H20" s="530" t="s">
        <v>1440</v>
      </c>
      <c r="I20" s="530" t="s">
        <v>1450</v>
      </c>
      <c r="J20" s="529">
        <v>43749952</v>
      </c>
      <c r="K20" s="442" t="s">
        <v>1191</v>
      </c>
      <c r="L20" s="178">
        <v>27747</v>
      </c>
      <c r="M20" s="443">
        <f t="shared" ca="1" si="0"/>
        <v>50</v>
      </c>
      <c r="N20" s="442" t="s">
        <v>1588</v>
      </c>
      <c r="O20" s="532">
        <v>3105351168</v>
      </c>
      <c r="P20" s="530" t="s">
        <v>1451</v>
      </c>
      <c r="Q20" s="442" t="s">
        <v>1440</v>
      </c>
      <c r="R20" s="284" t="s">
        <v>321</v>
      </c>
      <c r="S20" s="285" t="s">
        <v>663</v>
      </c>
      <c r="T20" s="539">
        <v>47748</v>
      </c>
      <c r="U20" s="470" t="s">
        <v>160</v>
      </c>
      <c r="V20" s="144" t="s">
        <v>210</v>
      </c>
    </row>
    <row r="21" spans="1:22" ht="15.6">
      <c r="B21" s="171" t="s">
        <v>230</v>
      </c>
      <c r="C21" s="171"/>
      <c r="E21" s="442">
        <v>90</v>
      </c>
      <c r="F21" s="196" t="s">
        <v>1577</v>
      </c>
      <c r="G21" s="442" t="s">
        <v>151</v>
      </c>
      <c r="H21" s="530" t="s">
        <v>1440</v>
      </c>
      <c r="I21" s="530" t="s">
        <v>1452</v>
      </c>
      <c r="J21" s="529">
        <v>59965379</v>
      </c>
      <c r="K21" s="442" t="s">
        <v>1191</v>
      </c>
      <c r="L21" s="178">
        <v>26210</v>
      </c>
      <c r="M21" s="443">
        <f t="shared" ca="1" si="0"/>
        <v>54</v>
      </c>
      <c r="N21" s="442" t="s">
        <v>1588</v>
      </c>
      <c r="O21" s="532">
        <v>3152260469</v>
      </c>
      <c r="P21" s="530" t="s">
        <v>1453</v>
      </c>
      <c r="Q21" s="442" t="s">
        <v>1440</v>
      </c>
      <c r="R21" s="284"/>
      <c r="S21" s="285" t="s">
        <v>663</v>
      </c>
      <c r="T21" s="539">
        <v>45923</v>
      </c>
      <c r="U21" s="470" t="s">
        <v>160</v>
      </c>
      <c r="V21" s="144" t="s">
        <v>210</v>
      </c>
    </row>
    <row r="22" spans="1:22" ht="15.6">
      <c r="A22" s="144" t="s">
        <v>1849</v>
      </c>
      <c r="B22" s="171" t="s">
        <v>1884</v>
      </c>
      <c r="C22" s="171"/>
      <c r="D22" s="761" t="s">
        <v>2290</v>
      </c>
      <c r="E22" s="763">
        <v>90</v>
      </c>
      <c r="F22" s="755" t="s">
        <v>1577</v>
      </c>
      <c r="G22" s="763" t="s">
        <v>151</v>
      </c>
      <c r="H22" s="929" t="s">
        <v>2291</v>
      </c>
      <c r="I22" s="929" t="s">
        <v>1460</v>
      </c>
      <c r="J22" s="930">
        <v>1034924532</v>
      </c>
      <c r="K22" s="763" t="s">
        <v>1191</v>
      </c>
      <c r="L22" s="765">
        <v>37318</v>
      </c>
      <c r="M22" s="766">
        <f t="shared" ref="M22" ca="1" si="1">DATEDIF(L22,TODAY(),"Y")</f>
        <v>24</v>
      </c>
      <c r="N22" s="763" t="s">
        <v>1588</v>
      </c>
      <c r="O22" s="937">
        <v>3177551180</v>
      </c>
      <c r="P22" s="929" t="s">
        <v>1461</v>
      </c>
      <c r="Q22" s="763" t="s">
        <v>1709</v>
      </c>
      <c r="R22" s="821" t="s">
        <v>891</v>
      </c>
      <c r="S22" s="822" t="s">
        <v>461</v>
      </c>
      <c r="T22" s="933">
        <v>45923</v>
      </c>
      <c r="U22" s="768" t="s">
        <v>166</v>
      </c>
      <c r="V22" s="761" t="s">
        <v>210</v>
      </c>
    </row>
    <row r="23" spans="1:22" ht="15.6">
      <c r="A23" s="144" t="s">
        <v>1440</v>
      </c>
      <c r="B23" s="171" t="s">
        <v>1885</v>
      </c>
      <c r="C23" s="171"/>
      <c r="E23" s="136">
        <v>90</v>
      </c>
      <c r="F23" s="137" t="s">
        <v>1577</v>
      </c>
      <c r="G23" s="136" t="s">
        <v>151</v>
      </c>
      <c r="H23" s="534" t="s">
        <v>2291</v>
      </c>
      <c r="I23" s="534" t="s">
        <v>1454</v>
      </c>
      <c r="J23" s="533">
        <v>15334892</v>
      </c>
      <c r="K23" s="136" t="s">
        <v>1191</v>
      </c>
      <c r="L23" s="179">
        <v>23019</v>
      </c>
      <c r="M23" s="482">
        <f ca="1">DATEDIF(L23,TODAY(),"Y")</f>
        <v>63</v>
      </c>
      <c r="N23" s="136" t="s">
        <v>1588</v>
      </c>
      <c r="O23" s="535">
        <v>3106259625</v>
      </c>
      <c r="P23" s="534" t="s">
        <v>1455</v>
      </c>
      <c r="Q23" s="136" t="s">
        <v>1709</v>
      </c>
      <c r="R23" s="287" t="s">
        <v>164</v>
      </c>
      <c r="S23" s="288" t="s">
        <v>230</v>
      </c>
      <c r="T23" s="540">
        <v>45923</v>
      </c>
      <c r="U23" s="541" t="s">
        <v>160</v>
      </c>
      <c r="V23" s="144" t="s">
        <v>210</v>
      </c>
    </row>
    <row r="24" spans="1:22" ht="15.6">
      <c r="A24" s="144" t="s">
        <v>1850</v>
      </c>
      <c r="B24" s="171" t="s">
        <v>1886</v>
      </c>
      <c r="C24" s="171"/>
      <c r="D24" s="143"/>
      <c r="E24" s="136">
        <v>90</v>
      </c>
      <c r="F24" s="137" t="s">
        <v>1577</v>
      </c>
      <c r="G24" s="136" t="s">
        <v>151</v>
      </c>
      <c r="H24" s="534" t="s">
        <v>2291</v>
      </c>
      <c r="I24" s="534" t="s">
        <v>1456</v>
      </c>
      <c r="J24" s="533">
        <v>7378885</v>
      </c>
      <c r="K24" s="136" t="s">
        <v>1187</v>
      </c>
      <c r="L24" s="179">
        <v>25809</v>
      </c>
      <c r="M24" s="482">
        <f t="shared" ca="1" si="0"/>
        <v>55</v>
      </c>
      <c r="N24" s="136" t="s">
        <v>1588</v>
      </c>
      <c r="O24" s="535">
        <v>3226185511</v>
      </c>
      <c r="P24" s="534" t="s">
        <v>1457</v>
      </c>
      <c r="Q24" s="136" t="s">
        <v>1709</v>
      </c>
      <c r="R24" s="287" t="s">
        <v>164</v>
      </c>
      <c r="S24" s="288" t="s">
        <v>230</v>
      </c>
      <c r="T24" s="540">
        <v>45923</v>
      </c>
      <c r="U24" s="541" t="s">
        <v>160</v>
      </c>
      <c r="V24" s="144" t="s">
        <v>210</v>
      </c>
    </row>
    <row r="25" spans="1:22" ht="15.6">
      <c r="A25" s="144" t="s">
        <v>1467</v>
      </c>
      <c r="B25" s="171" t="s">
        <v>1887</v>
      </c>
      <c r="C25" s="171"/>
      <c r="D25" s="144"/>
      <c r="E25" s="136">
        <v>90</v>
      </c>
      <c r="F25" s="137" t="s">
        <v>1577</v>
      </c>
      <c r="G25" s="136" t="s">
        <v>151</v>
      </c>
      <c r="H25" s="534" t="s">
        <v>2291</v>
      </c>
      <c r="I25" s="534" t="s">
        <v>1458</v>
      </c>
      <c r="J25" s="533">
        <v>1020102134</v>
      </c>
      <c r="K25" s="136" t="s">
        <v>1191</v>
      </c>
      <c r="L25" s="179">
        <v>37706</v>
      </c>
      <c r="M25" s="482">
        <f t="shared" ca="1" si="0"/>
        <v>23</v>
      </c>
      <c r="N25" s="136" t="s">
        <v>1588</v>
      </c>
      <c r="O25" s="535">
        <v>3011628450</v>
      </c>
      <c r="P25" s="534" t="s">
        <v>1459</v>
      </c>
      <c r="Q25" s="136" t="s">
        <v>1709</v>
      </c>
      <c r="R25" s="287" t="s">
        <v>891</v>
      </c>
      <c r="S25" s="288" t="s">
        <v>663</v>
      </c>
      <c r="T25" s="540">
        <v>45923</v>
      </c>
      <c r="U25" s="541" t="s">
        <v>160</v>
      </c>
      <c r="V25" s="144" t="s">
        <v>210</v>
      </c>
    </row>
    <row r="26" spans="1:22" ht="15.6">
      <c r="A26" s="144" t="s">
        <v>1492</v>
      </c>
      <c r="B26" s="171" t="s">
        <v>1888</v>
      </c>
      <c r="C26" s="171"/>
      <c r="E26" s="136">
        <v>90</v>
      </c>
      <c r="F26" s="137" t="s">
        <v>1577</v>
      </c>
      <c r="G26" s="136" t="s">
        <v>151</v>
      </c>
      <c r="H26" s="534" t="s">
        <v>2291</v>
      </c>
      <c r="I26" s="534" t="s">
        <v>1462</v>
      </c>
      <c r="J26" s="533">
        <v>1020109891</v>
      </c>
      <c r="K26" s="136" t="s">
        <v>1191</v>
      </c>
      <c r="L26" s="179">
        <v>38818</v>
      </c>
      <c r="M26" s="482">
        <f t="shared" ca="1" si="0"/>
        <v>20</v>
      </c>
      <c r="N26" s="136" t="s">
        <v>1588</v>
      </c>
      <c r="O26" s="535">
        <v>3116958401</v>
      </c>
      <c r="P26" s="534" t="s">
        <v>1463</v>
      </c>
      <c r="Q26" s="136" t="s">
        <v>1709</v>
      </c>
      <c r="R26" s="287" t="s">
        <v>164</v>
      </c>
      <c r="S26" s="288" t="s">
        <v>663</v>
      </c>
      <c r="T26" s="540">
        <v>45923</v>
      </c>
      <c r="U26" s="541" t="s">
        <v>160</v>
      </c>
      <c r="V26" s="144" t="s">
        <v>210</v>
      </c>
    </row>
    <row r="27" spans="1:22" ht="15.6">
      <c r="A27" s="144" t="s">
        <v>1851</v>
      </c>
      <c r="B27" s="171" t="s">
        <v>1889</v>
      </c>
      <c r="C27" s="171"/>
      <c r="D27" s="761" t="s">
        <v>2290</v>
      </c>
      <c r="E27" s="763">
        <v>90</v>
      </c>
      <c r="F27" s="755" t="s">
        <v>1577</v>
      </c>
      <c r="G27" s="763" t="s">
        <v>151</v>
      </c>
      <c r="H27" s="929" t="s">
        <v>1464</v>
      </c>
      <c r="I27" s="929" t="s">
        <v>1465</v>
      </c>
      <c r="J27" s="930">
        <v>1128416953</v>
      </c>
      <c r="K27" s="763" t="s">
        <v>1191</v>
      </c>
      <c r="L27" s="765">
        <v>32154</v>
      </c>
      <c r="M27" s="766">
        <f t="shared" ca="1" si="0"/>
        <v>38</v>
      </c>
      <c r="N27" s="763" t="s">
        <v>1588</v>
      </c>
      <c r="O27" s="937">
        <v>3137062693</v>
      </c>
      <c r="P27" s="929" t="s">
        <v>1466</v>
      </c>
      <c r="Q27" s="763" t="s">
        <v>1467</v>
      </c>
      <c r="R27" s="821" t="s">
        <v>333</v>
      </c>
      <c r="S27" s="822" t="s">
        <v>663</v>
      </c>
      <c r="T27" s="933">
        <v>45929</v>
      </c>
      <c r="U27" s="768" t="s">
        <v>166</v>
      </c>
      <c r="V27" s="761" t="s">
        <v>210</v>
      </c>
    </row>
    <row r="28" spans="1:22" ht="15.6">
      <c r="A28" s="144" t="s">
        <v>1291</v>
      </c>
      <c r="B28" s="171" t="s">
        <v>1890</v>
      </c>
      <c r="C28" s="171"/>
      <c r="E28" s="438">
        <v>90</v>
      </c>
      <c r="F28" s="200" t="s">
        <v>1577</v>
      </c>
      <c r="G28" s="438" t="s">
        <v>151</v>
      </c>
      <c r="H28" s="524" t="s">
        <v>1464</v>
      </c>
      <c r="I28" s="524" t="s">
        <v>1468</v>
      </c>
      <c r="J28" s="523">
        <v>1001138429</v>
      </c>
      <c r="K28" s="438" t="s">
        <v>1187</v>
      </c>
      <c r="L28" s="191">
        <v>37513</v>
      </c>
      <c r="M28" s="439">
        <f t="shared" ca="1" si="0"/>
        <v>23</v>
      </c>
      <c r="N28" s="438" t="s">
        <v>1588</v>
      </c>
      <c r="O28" s="525">
        <v>3137447623</v>
      </c>
      <c r="P28" s="524" t="s">
        <v>1469</v>
      </c>
      <c r="Q28" s="438" t="s">
        <v>1467</v>
      </c>
      <c r="R28" s="234" t="s">
        <v>333</v>
      </c>
      <c r="S28" s="235" t="s">
        <v>663</v>
      </c>
      <c r="T28" s="537">
        <v>45929</v>
      </c>
      <c r="U28" s="468" t="s">
        <v>160</v>
      </c>
      <c r="V28" s="144" t="s">
        <v>210</v>
      </c>
    </row>
    <row r="29" spans="1:22" ht="15.6">
      <c r="A29" s="144" t="s">
        <v>1852</v>
      </c>
      <c r="B29" s="171" t="s">
        <v>1891</v>
      </c>
      <c r="C29" s="171"/>
      <c r="E29" s="438">
        <v>90</v>
      </c>
      <c r="F29" s="200" t="s">
        <v>1577</v>
      </c>
      <c r="G29" s="438" t="s">
        <v>151</v>
      </c>
      <c r="H29" s="524" t="s">
        <v>1464</v>
      </c>
      <c r="I29" s="524" t="s">
        <v>1470</v>
      </c>
      <c r="J29" s="523">
        <v>70044038</v>
      </c>
      <c r="K29" s="438" t="s">
        <v>1187</v>
      </c>
      <c r="L29" s="191">
        <v>19115</v>
      </c>
      <c r="M29" s="439">
        <f t="shared" ca="1" si="0"/>
        <v>74</v>
      </c>
      <c r="N29" s="438" t="s">
        <v>1588</v>
      </c>
      <c r="O29" s="525">
        <v>3104506956</v>
      </c>
      <c r="P29" s="524" t="s">
        <v>1471</v>
      </c>
      <c r="Q29" s="438" t="s">
        <v>1467</v>
      </c>
      <c r="R29" s="234" t="s">
        <v>876</v>
      </c>
      <c r="S29" s="235" t="s">
        <v>663</v>
      </c>
      <c r="T29" s="537">
        <v>45929</v>
      </c>
      <c r="U29" s="468" t="s">
        <v>160</v>
      </c>
      <c r="V29" s="144" t="s">
        <v>210</v>
      </c>
    </row>
    <row r="30" spans="1:22" ht="15.6">
      <c r="A30" s="144" t="s">
        <v>1516</v>
      </c>
      <c r="B30" s="171" t="s">
        <v>1892</v>
      </c>
      <c r="C30" s="171"/>
      <c r="E30" s="438">
        <v>90</v>
      </c>
      <c r="F30" s="200" t="s">
        <v>1577</v>
      </c>
      <c r="G30" s="438" t="s">
        <v>151</v>
      </c>
      <c r="H30" s="524" t="s">
        <v>1464</v>
      </c>
      <c r="I30" s="524" t="s">
        <v>1472</v>
      </c>
      <c r="J30" s="523">
        <v>71782534</v>
      </c>
      <c r="K30" s="438" t="s">
        <v>1187</v>
      </c>
      <c r="L30" s="191">
        <v>28540</v>
      </c>
      <c r="M30" s="439">
        <f t="shared" ca="1" si="0"/>
        <v>48</v>
      </c>
      <c r="N30" s="438" t="s">
        <v>1588</v>
      </c>
      <c r="O30" s="525">
        <v>3506398639</v>
      </c>
      <c r="P30" s="524" t="s">
        <v>697</v>
      </c>
      <c r="Q30" s="438" t="s">
        <v>1467</v>
      </c>
      <c r="R30" s="234" t="s">
        <v>333</v>
      </c>
      <c r="S30" s="235" t="s">
        <v>170</v>
      </c>
      <c r="T30" s="537">
        <v>45929</v>
      </c>
      <c r="U30" s="468" t="s">
        <v>160</v>
      </c>
      <c r="V30" s="144" t="s">
        <v>210</v>
      </c>
    </row>
    <row r="31" spans="1:22" ht="15.6">
      <c r="A31" s="144" t="s">
        <v>1853</v>
      </c>
      <c r="B31" s="171" t="s">
        <v>1893</v>
      </c>
      <c r="C31" s="171"/>
      <c r="E31" s="438">
        <v>90</v>
      </c>
      <c r="F31" s="200" t="s">
        <v>1577</v>
      </c>
      <c r="G31" s="438" t="s">
        <v>151</v>
      </c>
      <c r="H31" s="524" t="s">
        <v>1464</v>
      </c>
      <c r="I31" s="524" t="s">
        <v>1473</v>
      </c>
      <c r="J31" s="523">
        <v>1036946075</v>
      </c>
      <c r="K31" s="438" t="s">
        <v>1187</v>
      </c>
      <c r="L31" s="191">
        <v>33854</v>
      </c>
      <c r="M31" s="439">
        <f t="shared" ca="1" si="0"/>
        <v>33</v>
      </c>
      <c r="N31" s="438" t="s">
        <v>1588</v>
      </c>
      <c r="O31" s="525">
        <v>3506398630</v>
      </c>
      <c r="P31" s="524" t="s">
        <v>1474</v>
      </c>
      <c r="Q31" s="438" t="s">
        <v>1467</v>
      </c>
      <c r="R31" s="234" t="s">
        <v>333</v>
      </c>
      <c r="S31" s="235" t="s">
        <v>663</v>
      </c>
      <c r="T31" s="537">
        <v>45929</v>
      </c>
      <c r="U31" s="468" t="s">
        <v>160</v>
      </c>
      <c r="V31" s="144" t="s">
        <v>210</v>
      </c>
    </row>
    <row r="32" spans="1:22" ht="15.6">
      <c r="A32" s="144" t="s">
        <v>1709</v>
      </c>
      <c r="B32" s="171" t="s">
        <v>1894</v>
      </c>
      <c r="C32" s="171"/>
      <c r="E32" s="438">
        <v>90</v>
      </c>
      <c r="F32" s="200" t="s">
        <v>1577</v>
      </c>
      <c r="G32" s="438" t="s">
        <v>151</v>
      </c>
      <c r="H32" s="524" t="s">
        <v>1464</v>
      </c>
      <c r="I32" s="524" t="s">
        <v>1475</v>
      </c>
      <c r="J32" s="523">
        <v>21410500</v>
      </c>
      <c r="K32" s="438" t="s">
        <v>1191</v>
      </c>
      <c r="L32" s="191">
        <v>27333</v>
      </c>
      <c r="M32" s="439">
        <f t="shared" ca="1" si="0"/>
        <v>51</v>
      </c>
      <c r="N32" s="438" t="s">
        <v>1588</v>
      </c>
      <c r="O32" s="525">
        <v>3234092221</v>
      </c>
      <c r="P32" s="524" t="s">
        <v>1476</v>
      </c>
      <c r="Q32" s="438" t="s">
        <v>1467</v>
      </c>
      <c r="R32" s="234" t="s">
        <v>333</v>
      </c>
      <c r="S32" s="235" t="s">
        <v>461</v>
      </c>
      <c r="T32" s="537">
        <v>45929</v>
      </c>
      <c r="U32" s="468" t="s">
        <v>160</v>
      </c>
      <c r="V32" s="144" t="s">
        <v>210</v>
      </c>
    </row>
    <row r="33" spans="1:22" ht="15.6">
      <c r="A33" s="144"/>
      <c r="B33" s="171" t="s">
        <v>1895</v>
      </c>
      <c r="C33" s="171"/>
      <c r="D33" s="761" t="s">
        <v>2290</v>
      </c>
      <c r="E33" s="763">
        <v>90</v>
      </c>
      <c r="F33" s="755" t="s">
        <v>1577</v>
      </c>
      <c r="G33" s="763" t="s">
        <v>151</v>
      </c>
      <c r="H33" s="929" t="s">
        <v>1477</v>
      </c>
      <c r="I33" s="929" t="s">
        <v>1478</v>
      </c>
      <c r="J33" s="930">
        <v>1036948476</v>
      </c>
      <c r="K33" s="763" t="s">
        <v>1187</v>
      </c>
      <c r="L33" s="765">
        <v>34298</v>
      </c>
      <c r="M33" s="766">
        <f t="shared" ca="1" si="0"/>
        <v>32</v>
      </c>
      <c r="N33" s="763" t="s">
        <v>1588</v>
      </c>
      <c r="O33" s="937">
        <v>3204457209</v>
      </c>
      <c r="P33" s="929" t="s">
        <v>1479</v>
      </c>
      <c r="Q33" s="763" t="s">
        <v>1440</v>
      </c>
      <c r="R33" s="821" t="s">
        <v>333</v>
      </c>
      <c r="S33" s="822" t="s">
        <v>663</v>
      </c>
      <c r="T33" s="933">
        <v>45929</v>
      </c>
      <c r="U33" s="768" t="s">
        <v>166</v>
      </c>
      <c r="V33" s="761" t="s">
        <v>210</v>
      </c>
    </row>
    <row r="34" spans="1:22" ht="15.6">
      <c r="A34" s="144"/>
      <c r="B34" s="171" t="s">
        <v>1896</v>
      </c>
      <c r="C34" s="171"/>
      <c r="E34" s="440">
        <v>90</v>
      </c>
      <c r="F34" s="195" t="s">
        <v>1577</v>
      </c>
      <c r="G34" s="440" t="s">
        <v>151</v>
      </c>
      <c r="H34" s="527" t="s">
        <v>1477</v>
      </c>
      <c r="I34" s="527" t="s">
        <v>1480</v>
      </c>
      <c r="J34" s="526">
        <v>1000869906</v>
      </c>
      <c r="K34" s="440" t="s">
        <v>1187</v>
      </c>
      <c r="L34" s="177">
        <v>37236</v>
      </c>
      <c r="M34" s="441">
        <f t="shared" ca="1" si="0"/>
        <v>24</v>
      </c>
      <c r="N34" s="440" t="s">
        <v>1588</v>
      </c>
      <c r="O34" s="528">
        <v>3207856103</v>
      </c>
      <c r="P34" s="527" t="s">
        <v>1481</v>
      </c>
      <c r="Q34" s="440" t="s">
        <v>1440</v>
      </c>
      <c r="R34" s="236" t="s">
        <v>333</v>
      </c>
      <c r="S34" s="237" t="s">
        <v>663</v>
      </c>
      <c r="T34" s="538">
        <v>45929</v>
      </c>
      <c r="U34" s="469" t="s">
        <v>160</v>
      </c>
      <c r="V34" s="144" t="s">
        <v>210</v>
      </c>
    </row>
    <row r="35" spans="1:22" ht="15">
      <c r="B35" s="170" t="s">
        <v>1899</v>
      </c>
      <c r="C35" s="170"/>
      <c r="E35" s="440">
        <v>90</v>
      </c>
      <c r="F35" s="195" t="s">
        <v>1577</v>
      </c>
      <c r="G35" s="440" t="s">
        <v>151</v>
      </c>
      <c r="H35" s="527" t="s">
        <v>1477</v>
      </c>
      <c r="I35" s="527" t="s">
        <v>1482</v>
      </c>
      <c r="J35" s="526">
        <v>39451803</v>
      </c>
      <c r="K35" s="440" t="s">
        <v>1191</v>
      </c>
      <c r="L35" s="177">
        <v>29458</v>
      </c>
      <c r="M35" s="441">
        <f t="shared" ca="1" si="0"/>
        <v>45</v>
      </c>
      <c r="N35" s="440" t="s">
        <v>1588</v>
      </c>
      <c r="O35" s="528">
        <v>3137503825</v>
      </c>
      <c r="P35" s="527" t="s">
        <v>1483</v>
      </c>
      <c r="Q35" s="440" t="s">
        <v>1440</v>
      </c>
      <c r="R35" s="236" t="s">
        <v>333</v>
      </c>
      <c r="S35" s="237" t="s">
        <v>663</v>
      </c>
      <c r="T35" s="538">
        <v>45929</v>
      </c>
      <c r="U35" s="469" t="s">
        <v>160</v>
      </c>
      <c r="V35" s="144" t="s">
        <v>210</v>
      </c>
    </row>
    <row r="36" spans="1:22" ht="15">
      <c r="A36" s="144"/>
      <c r="B36" s="170" t="s">
        <v>1900</v>
      </c>
      <c r="C36" s="170"/>
      <c r="E36" s="440">
        <v>90</v>
      </c>
      <c r="F36" s="195" t="s">
        <v>1577</v>
      </c>
      <c r="G36" s="440" t="s">
        <v>151</v>
      </c>
      <c r="H36" s="527" t="s">
        <v>1477</v>
      </c>
      <c r="I36" s="527" t="s">
        <v>1484</v>
      </c>
      <c r="J36" s="526">
        <v>43455600</v>
      </c>
      <c r="K36" s="440" t="s">
        <v>1191</v>
      </c>
      <c r="L36" s="177">
        <v>30690</v>
      </c>
      <c r="M36" s="441">
        <f t="shared" ca="1" si="0"/>
        <v>42</v>
      </c>
      <c r="N36" s="440" t="s">
        <v>1588</v>
      </c>
      <c r="O36" s="528">
        <v>3122315830</v>
      </c>
      <c r="P36" s="527" t="s">
        <v>1485</v>
      </c>
      <c r="Q36" s="440" t="s">
        <v>1440</v>
      </c>
      <c r="R36" s="236" t="s">
        <v>192</v>
      </c>
      <c r="S36" s="237" t="s">
        <v>1585</v>
      </c>
      <c r="T36" s="538">
        <v>45929</v>
      </c>
      <c r="U36" s="469" t="s">
        <v>160</v>
      </c>
      <c r="V36" s="144" t="s">
        <v>210</v>
      </c>
    </row>
    <row r="37" spans="1:22" ht="15.6">
      <c r="B37" t="s">
        <v>1898</v>
      </c>
      <c r="C37"/>
      <c r="E37" s="440">
        <v>90</v>
      </c>
      <c r="F37" s="195" t="s">
        <v>1577</v>
      </c>
      <c r="G37" s="440" t="s">
        <v>151</v>
      </c>
      <c r="H37" s="527" t="s">
        <v>1477</v>
      </c>
      <c r="I37" s="527" t="s">
        <v>1486</v>
      </c>
      <c r="J37" s="536">
        <v>70127647</v>
      </c>
      <c r="K37" s="440" t="s">
        <v>1187</v>
      </c>
      <c r="L37" s="177">
        <v>21186</v>
      </c>
      <c r="M37" s="441">
        <f t="shared" ca="1" si="0"/>
        <v>68</v>
      </c>
      <c r="N37" s="440" t="s">
        <v>1588</v>
      </c>
      <c r="O37" s="528">
        <v>3234540165</v>
      </c>
      <c r="P37" s="527" t="s">
        <v>1487</v>
      </c>
      <c r="Q37" s="440" t="s">
        <v>1440</v>
      </c>
      <c r="R37" s="236" t="s">
        <v>333</v>
      </c>
      <c r="S37" s="237" t="s">
        <v>193</v>
      </c>
      <c r="T37" s="538">
        <v>45929</v>
      </c>
      <c r="U37" s="469" t="s">
        <v>160</v>
      </c>
      <c r="V37" s="144" t="s">
        <v>210</v>
      </c>
    </row>
    <row r="38" spans="1:22" ht="15">
      <c r="A38" s="144"/>
      <c r="B38" s="144" t="s">
        <v>218</v>
      </c>
      <c r="C38" s="144"/>
      <c r="E38" s="440">
        <v>90</v>
      </c>
      <c r="F38" s="195" t="s">
        <v>1577</v>
      </c>
      <c r="G38" s="440" t="s">
        <v>151</v>
      </c>
      <c r="H38" s="527" t="s">
        <v>1477</v>
      </c>
      <c r="I38" s="527" t="s">
        <v>1488</v>
      </c>
      <c r="J38" s="526">
        <v>32255831</v>
      </c>
      <c r="K38" s="440" t="s">
        <v>1191</v>
      </c>
      <c r="L38" s="177">
        <v>30322</v>
      </c>
      <c r="M38" s="441">
        <f t="shared" ca="1" si="0"/>
        <v>43</v>
      </c>
      <c r="N38" s="440" t="s">
        <v>1588</v>
      </c>
      <c r="O38" s="528">
        <v>3177667460</v>
      </c>
      <c r="P38" s="527" t="s">
        <v>1489</v>
      </c>
      <c r="Q38" s="440" t="s">
        <v>1440</v>
      </c>
      <c r="R38" s="236" t="s">
        <v>164</v>
      </c>
      <c r="S38" s="237" t="s">
        <v>663</v>
      </c>
      <c r="T38" s="538">
        <v>45929</v>
      </c>
      <c r="U38" s="469" t="s">
        <v>160</v>
      </c>
      <c r="V38" s="144" t="s">
        <v>210</v>
      </c>
    </row>
    <row r="39" spans="1:22" ht="15">
      <c r="A39" s="144"/>
      <c r="B39" s="144" t="s">
        <v>1585</v>
      </c>
      <c r="C39" s="144"/>
      <c r="D39" s="761" t="s">
        <v>2290</v>
      </c>
      <c r="E39" s="763">
        <v>90</v>
      </c>
      <c r="F39" s="755" t="s">
        <v>1577</v>
      </c>
      <c r="G39" s="763" t="s">
        <v>151</v>
      </c>
      <c r="H39" s="929" t="s">
        <v>1490</v>
      </c>
      <c r="I39" s="929" t="s">
        <v>1550</v>
      </c>
      <c r="J39" s="930">
        <v>71378194</v>
      </c>
      <c r="K39" s="763" t="s">
        <v>1187</v>
      </c>
      <c r="L39" s="765">
        <v>29837</v>
      </c>
      <c r="M39" s="766">
        <f t="shared" ca="1" si="0"/>
        <v>44</v>
      </c>
      <c r="N39" s="763" t="s">
        <v>1588</v>
      </c>
      <c r="O39" s="937">
        <v>3207595699</v>
      </c>
      <c r="P39" s="929" t="s">
        <v>1491</v>
      </c>
      <c r="Q39" s="763" t="s">
        <v>1492</v>
      </c>
      <c r="R39" s="821" t="s">
        <v>333</v>
      </c>
      <c r="S39" s="822" t="s">
        <v>663</v>
      </c>
      <c r="T39" s="933">
        <v>45929</v>
      </c>
      <c r="U39" s="768" t="s">
        <v>166</v>
      </c>
      <c r="V39" s="761" t="s">
        <v>210</v>
      </c>
    </row>
    <row r="40" spans="1:22" ht="15">
      <c r="E40" s="442">
        <v>90</v>
      </c>
      <c r="F40" s="196" t="s">
        <v>1577</v>
      </c>
      <c r="G40" s="442" t="s">
        <v>151</v>
      </c>
      <c r="H40" s="530" t="s">
        <v>1490</v>
      </c>
      <c r="I40" s="530" t="s">
        <v>1493</v>
      </c>
      <c r="J40" s="529">
        <v>1000099837</v>
      </c>
      <c r="K40" s="442" t="s">
        <v>1187</v>
      </c>
      <c r="L40" s="178">
        <v>37205</v>
      </c>
      <c r="M40" s="443">
        <f t="shared" ca="1" si="0"/>
        <v>24</v>
      </c>
      <c r="N40" s="442" t="s">
        <v>1588</v>
      </c>
      <c r="O40" s="532">
        <v>3054706950</v>
      </c>
      <c r="P40" s="530" t="s">
        <v>1494</v>
      </c>
      <c r="Q40" s="442" t="s">
        <v>1492</v>
      </c>
      <c r="R40" s="284" t="s">
        <v>333</v>
      </c>
      <c r="S40" s="285" t="s">
        <v>230</v>
      </c>
      <c r="T40" s="539">
        <v>45929</v>
      </c>
      <c r="U40" s="470" t="s">
        <v>160</v>
      </c>
      <c r="V40" s="144" t="s">
        <v>210</v>
      </c>
    </row>
    <row r="41" spans="1:22" ht="15">
      <c r="A41" s="144"/>
      <c r="E41" s="442">
        <v>90</v>
      </c>
      <c r="F41" s="196" t="s">
        <v>1577</v>
      </c>
      <c r="G41" s="442" t="s">
        <v>151</v>
      </c>
      <c r="H41" s="530" t="s">
        <v>1490</v>
      </c>
      <c r="I41" s="530" t="s">
        <v>1495</v>
      </c>
      <c r="J41" s="529">
        <v>71364811</v>
      </c>
      <c r="K41" s="442" t="s">
        <v>1187</v>
      </c>
      <c r="L41" s="178">
        <v>30487</v>
      </c>
      <c r="M41" s="443">
        <f t="shared" ca="1" si="0"/>
        <v>42</v>
      </c>
      <c r="N41" s="442" t="s">
        <v>1588</v>
      </c>
      <c r="O41" s="532">
        <v>3218184045</v>
      </c>
      <c r="P41" s="530" t="s">
        <v>1494</v>
      </c>
      <c r="Q41" s="442" t="s">
        <v>1492</v>
      </c>
      <c r="R41" s="284" t="s">
        <v>333</v>
      </c>
      <c r="S41" s="285" t="s">
        <v>663</v>
      </c>
      <c r="T41" s="539">
        <v>45929</v>
      </c>
      <c r="U41" s="470" t="s">
        <v>160</v>
      </c>
      <c r="V41" s="144" t="s">
        <v>210</v>
      </c>
    </row>
    <row r="42" spans="1:22" ht="15">
      <c r="A42" s="144"/>
      <c r="E42" s="442">
        <v>90</v>
      </c>
      <c r="F42" s="196" t="s">
        <v>1577</v>
      </c>
      <c r="G42" s="442" t="s">
        <v>151</v>
      </c>
      <c r="H42" s="530" t="s">
        <v>1490</v>
      </c>
      <c r="I42" s="530" t="s">
        <v>1496</v>
      </c>
      <c r="J42" s="529">
        <v>43915385</v>
      </c>
      <c r="K42" s="442" t="s">
        <v>1191</v>
      </c>
      <c r="L42" s="178">
        <v>30480</v>
      </c>
      <c r="M42" s="443">
        <f t="shared" ca="1" si="0"/>
        <v>42</v>
      </c>
      <c r="N42" s="442" t="s">
        <v>1588</v>
      </c>
      <c r="O42" s="532">
        <v>3014124424</v>
      </c>
      <c r="P42" s="530" t="s">
        <v>1494</v>
      </c>
      <c r="Q42" s="442" t="s">
        <v>1492</v>
      </c>
      <c r="R42" s="284" t="s">
        <v>333</v>
      </c>
      <c r="S42" s="285" t="s">
        <v>663</v>
      </c>
      <c r="T42" s="539">
        <v>45929</v>
      </c>
      <c r="U42" s="470" t="s">
        <v>160</v>
      </c>
      <c r="V42" s="144" t="s">
        <v>210</v>
      </c>
    </row>
    <row r="43" spans="1:22" ht="15">
      <c r="A43" s="144"/>
      <c r="E43" s="442">
        <v>90</v>
      </c>
      <c r="F43" s="196" t="s">
        <v>1577</v>
      </c>
      <c r="G43" s="442" t="s">
        <v>151</v>
      </c>
      <c r="H43" s="530" t="s">
        <v>1490</v>
      </c>
      <c r="I43" s="530" t="s">
        <v>1497</v>
      </c>
      <c r="J43" s="529">
        <v>71793615</v>
      </c>
      <c r="K43" s="442" t="s">
        <v>1187</v>
      </c>
      <c r="L43" s="178">
        <v>29093</v>
      </c>
      <c r="M43" s="443">
        <f t="shared" ca="1" si="0"/>
        <v>46</v>
      </c>
      <c r="N43" s="442" t="s">
        <v>1588</v>
      </c>
      <c r="O43" s="532">
        <v>3042595022</v>
      </c>
      <c r="P43" s="530" t="s">
        <v>1494</v>
      </c>
      <c r="Q43" s="442" t="s">
        <v>1492</v>
      </c>
      <c r="R43" s="284"/>
      <c r="S43" s="285" t="s">
        <v>193</v>
      </c>
      <c r="T43" s="539">
        <v>45929</v>
      </c>
      <c r="U43" s="470" t="s">
        <v>160</v>
      </c>
      <c r="V43" s="144" t="s">
        <v>210</v>
      </c>
    </row>
    <row r="44" spans="1:22" ht="15">
      <c r="B44" s="143"/>
      <c r="C44" s="143"/>
      <c r="E44" s="442">
        <v>90</v>
      </c>
      <c r="F44" s="196" t="s">
        <v>1577</v>
      </c>
      <c r="G44" s="442" t="s">
        <v>151</v>
      </c>
      <c r="H44" s="530" t="s">
        <v>1490</v>
      </c>
      <c r="I44" s="530" t="s">
        <v>1498</v>
      </c>
      <c r="J44" s="529">
        <v>43579903</v>
      </c>
      <c r="K44" s="442" t="s">
        <v>1191</v>
      </c>
      <c r="L44" s="178">
        <v>26391</v>
      </c>
      <c r="M44" s="443">
        <f t="shared" ca="1" si="0"/>
        <v>54</v>
      </c>
      <c r="N44" s="442" t="s">
        <v>1588</v>
      </c>
      <c r="O44" s="532">
        <v>3008926848</v>
      </c>
      <c r="P44" s="530" t="s">
        <v>1499</v>
      </c>
      <c r="Q44" s="442" t="s">
        <v>1492</v>
      </c>
      <c r="R44" s="284" t="s">
        <v>891</v>
      </c>
      <c r="S44" s="285" t="s">
        <v>193</v>
      </c>
      <c r="T44" s="539">
        <v>45929</v>
      </c>
      <c r="U44" s="470" t="s">
        <v>160</v>
      </c>
      <c r="V44" s="144" t="s">
        <v>210</v>
      </c>
    </row>
    <row r="45" spans="1:22" ht="15">
      <c r="D45" s="761" t="s">
        <v>2290</v>
      </c>
      <c r="E45" s="763">
        <v>90</v>
      </c>
      <c r="F45" s="755" t="s">
        <v>1577</v>
      </c>
      <c r="G45" s="763" t="s">
        <v>151</v>
      </c>
      <c r="H45" s="929" t="s">
        <v>1500</v>
      </c>
      <c r="I45" s="929" t="s">
        <v>1501</v>
      </c>
      <c r="J45" s="930">
        <v>70753573</v>
      </c>
      <c r="K45" s="763" t="s">
        <v>1187</v>
      </c>
      <c r="L45" s="765">
        <v>26225</v>
      </c>
      <c r="M45" s="766">
        <f t="shared" ca="1" si="0"/>
        <v>54</v>
      </c>
      <c r="N45" s="763" t="s">
        <v>1588</v>
      </c>
      <c r="O45" s="937">
        <v>3217423348</v>
      </c>
      <c r="P45" s="938" t="s">
        <v>1502</v>
      </c>
      <c r="Q45" s="763" t="s">
        <v>1849</v>
      </c>
      <c r="R45" s="821" t="s">
        <v>333</v>
      </c>
      <c r="S45" s="822" t="s">
        <v>663</v>
      </c>
      <c r="T45" s="933">
        <v>45929</v>
      </c>
      <c r="U45" s="768" t="s">
        <v>166</v>
      </c>
      <c r="V45" s="761" t="s">
        <v>210</v>
      </c>
    </row>
    <row r="46" spans="1:22" ht="15">
      <c r="E46" s="136">
        <v>90</v>
      </c>
      <c r="F46" s="137" t="s">
        <v>1577</v>
      </c>
      <c r="G46" s="136" t="s">
        <v>151</v>
      </c>
      <c r="H46" s="534" t="s">
        <v>1500</v>
      </c>
      <c r="I46" s="534" t="s">
        <v>1503</v>
      </c>
      <c r="J46" s="533">
        <v>1000886852</v>
      </c>
      <c r="K46" s="136" t="s">
        <v>1187</v>
      </c>
      <c r="L46" s="179">
        <v>37709</v>
      </c>
      <c r="M46" s="482">
        <f t="shared" ca="1" si="0"/>
        <v>23</v>
      </c>
      <c r="N46" s="136" t="s">
        <v>1588</v>
      </c>
      <c r="O46" s="535">
        <v>3245249420</v>
      </c>
      <c r="P46" s="534" t="s">
        <v>1504</v>
      </c>
      <c r="Q46" s="136" t="s">
        <v>1849</v>
      </c>
      <c r="R46" s="287" t="s">
        <v>333</v>
      </c>
      <c r="S46" s="288" t="s">
        <v>230</v>
      </c>
      <c r="T46" s="540">
        <v>45929</v>
      </c>
      <c r="U46" s="541" t="s">
        <v>160</v>
      </c>
      <c r="V46" s="144" t="s">
        <v>210</v>
      </c>
    </row>
    <row r="47" spans="1:22" ht="15">
      <c r="E47" s="136">
        <v>90</v>
      </c>
      <c r="F47" s="137" t="s">
        <v>1577</v>
      </c>
      <c r="G47" s="136" t="s">
        <v>151</v>
      </c>
      <c r="H47" s="534" t="s">
        <v>1500</v>
      </c>
      <c r="I47" s="534" t="s">
        <v>1505</v>
      </c>
      <c r="J47" s="533">
        <v>1036947868</v>
      </c>
      <c r="K47" s="136" t="s">
        <v>1187</v>
      </c>
      <c r="L47" s="179">
        <v>34230</v>
      </c>
      <c r="M47" s="482">
        <f t="shared" ca="1" si="0"/>
        <v>32</v>
      </c>
      <c r="N47" s="136" t="s">
        <v>1588</v>
      </c>
      <c r="O47" s="535">
        <v>3106526504</v>
      </c>
      <c r="P47" s="534" t="s">
        <v>1506</v>
      </c>
      <c r="Q47" s="136" t="s">
        <v>1849</v>
      </c>
      <c r="R47" s="287" t="s">
        <v>333</v>
      </c>
      <c r="S47" s="288" t="s">
        <v>193</v>
      </c>
      <c r="T47" s="540">
        <v>45929</v>
      </c>
      <c r="U47" s="541" t="s">
        <v>160</v>
      </c>
      <c r="V47" s="144" t="s">
        <v>210</v>
      </c>
    </row>
    <row r="48" spans="1:22" ht="15">
      <c r="E48" s="136">
        <v>90</v>
      </c>
      <c r="F48" s="137" t="s">
        <v>1577</v>
      </c>
      <c r="G48" s="136" t="s">
        <v>151</v>
      </c>
      <c r="H48" s="534" t="s">
        <v>1500</v>
      </c>
      <c r="I48" s="534" t="s">
        <v>1507</v>
      </c>
      <c r="J48" s="533">
        <v>1036622729</v>
      </c>
      <c r="K48" s="136" t="s">
        <v>1187</v>
      </c>
      <c r="L48" s="179">
        <v>32496</v>
      </c>
      <c r="M48" s="482">
        <f t="shared" ca="1" si="0"/>
        <v>37</v>
      </c>
      <c r="N48" s="136" t="s">
        <v>1588</v>
      </c>
      <c r="O48" s="535">
        <v>3215079290</v>
      </c>
      <c r="P48" s="534" t="s">
        <v>1508</v>
      </c>
      <c r="Q48" s="136" t="s">
        <v>1849</v>
      </c>
      <c r="R48" s="287" t="s">
        <v>333</v>
      </c>
      <c r="S48" s="288" t="s">
        <v>170</v>
      </c>
      <c r="T48" s="540">
        <v>45929</v>
      </c>
      <c r="U48" s="541" t="s">
        <v>160</v>
      </c>
      <c r="V48" s="144" t="s">
        <v>210</v>
      </c>
    </row>
    <row r="49" spans="4:22" ht="15">
      <c r="E49" s="136">
        <v>90</v>
      </c>
      <c r="F49" s="137" t="s">
        <v>1577</v>
      </c>
      <c r="G49" s="136" t="s">
        <v>151</v>
      </c>
      <c r="H49" s="534" t="s">
        <v>1500</v>
      </c>
      <c r="I49" s="534" t="s">
        <v>1509</v>
      </c>
      <c r="J49" s="533">
        <v>71770731</v>
      </c>
      <c r="K49" s="136" t="s">
        <v>1187</v>
      </c>
      <c r="L49" s="179">
        <v>28406</v>
      </c>
      <c r="M49" s="482">
        <f t="shared" ca="1" si="0"/>
        <v>48</v>
      </c>
      <c r="N49" s="136" t="s">
        <v>1588</v>
      </c>
      <c r="O49" s="535">
        <v>3217260665</v>
      </c>
      <c r="P49" s="534" t="s">
        <v>1510</v>
      </c>
      <c r="Q49" s="136" t="s">
        <v>1849</v>
      </c>
      <c r="R49" s="287" t="s">
        <v>333</v>
      </c>
      <c r="S49" s="288" t="s">
        <v>663</v>
      </c>
      <c r="T49" s="540">
        <v>45929</v>
      </c>
      <c r="U49" s="541" t="s">
        <v>160</v>
      </c>
      <c r="V49" s="144" t="s">
        <v>210</v>
      </c>
    </row>
    <row r="50" spans="4:22" ht="15">
      <c r="E50" s="136">
        <v>90</v>
      </c>
      <c r="F50" s="137" t="s">
        <v>1577</v>
      </c>
      <c r="G50" s="136" t="s">
        <v>151</v>
      </c>
      <c r="H50" s="534" t="s">
        <v>1500</v>
      </c>
      <c r="I50" s="534" t="s">
        <v>1511</v>
      </c>
      <c r="J50" s="533">
        <v>1152225955</v>
      </c>
      <c r="K50" s="136" t="s">
        <v>1191</v>
      </c>
      <c r="L50" s="179">
        <v>28360</v>
      </c>
      <c r="M50" s="482">
        <f t="shared" ca="1" si="0"/>
        <v>48</v>
      </c>
      <c r="N50" s="136" t="s">
        <v>1588</v>
      </c>
      <c r="O50" s="535">
        <v>3148049684</v>
      </c>
      <c r="P50" s="534" t="s">
        <v>1512</v>
      </c>
      <c r="Q50" s="136" t="s">
        <v>1849</v>
      </c>
      <c r="R50" s="287" t="s">
        <v>333</v>
      </c>
      <c r="S50" s="288" t="s">
        <v>663</v>
      </c>
      <c r="T50" s="540">
        <v>45929</v>
      </c>
      <c r="U50" s="541" t="s">
        <v>160</v>
      </c>
      <c r="V50" s="144" t="s">
        <v>210</v>
      </c>
    </row>
    <row r="51" spans="4:22" ht="15">
      <c r="D51" s="761" t="s">
        <v>2290</v>
      </c>
      <c r="E51" s="763">
        <v>90</v>
      </c>
      <c r="F51" s="755" t="s">
        <v>1577</v>
      </c>
      <c r="G51" s="763" t="s">
        <v>151</v>
      </c>
      <c r="H51" s="929" t="s">
        <v>1513</v>
      </c>
      <c r="I51" s="929" t="s">
        <v>1514</v>
      </c>
      <c r="J51" s="930">
        <v>43711231</v>
      </c>
      <c r="K51" s="763" t="s">
        <v>1191</v>
      </c>
      <c r="L51" s="765">
        <v>31246</v>
      </c>
      <c r="M51" s="766">
        <f t="shared" ca="1" si="0"/>
        <v>40</v>
      </c>
      <c r="N51" s="763" t="s">
        <v>1588</v>
      </c>
      <c r="O51" s="937">
        <v>3128314268</v>
      </c>
      <c r="P51" s="929" t="s">
        <v>1515</v>
      </c>
      <c r="Q51" s="763" t="s">
        <v>1516</v>
      </c>
      <c r="R51" s="821" t="s">
        <v>333</v>
      </c>
      <c r="S51" s="822" t="s">
        <v>193</v>
      </c>
      <c r="T51" s="933">
        <v>45929</v>
      </c>
      <c r="U51" s="768" t="s">
        <v>166</v>
      </c>
      <c r="V51" s="761" t="s">
        <v>210</v>
      </c>
    </row>
    <row r="52" spans="4:22" ht="15">
      <c r="E52" s="438">
        <v>90</v>
      </c>
      <c r="F52" s="200" t="s">
        <v>1577</v>
      </c>
      <c r="G52" s="438" t="s">
        <v>151</v>
      </c>
      <c r="H52" s="524" t="s">
        <v>1513</v>
      </c>
      <c r="I52" s="524" t="s">
        <v>1517</v>
      </c>
      <c r="J52" s="523">
        <v>1036937357</v>
      </c>
      <c r="K52" s="438" t="s">
        <v>1191</v>
      </c>
      <c r="L52" s="191">
        <v>32890</v>
      </c>
      <c r="M52" s="439">
        <f t="shared" ca="1" si="0"/>
        <v>36</v>
      </c>
      <c r="N52" s="438" t="s">
        <v>1588</v>
      </c>
      <c r="O52" s="525">
        <v>3217084258</v>
      </c>
      <c r="P52" s="524" t="s">
        <v>1518</v>
      </c>
      <c r="Q52" s="438" t="s">
        <v>1516</v>
      </c>
      <c r="R52" s="234" t="s">
        <v>333</v>
      </c>
      <c r="S52" s="235" t="s">
        <v>461</v>
      </c>
      <c r="T52" s="537">
        <v>45929</v>
      </c>
      <c r="U52" s="468" t="s">
        <v>160</v>
      </c>
      <c r="V52" s="144" t="s">
        <v>210</v>
      </c>
    </row>
    <row r="53" spans="4:22" ht="15">
      <c r="E53" s="438">
        <v>90</v>
      </c>
      <c r="F53" s="200" t="s">
        <v>1577</v>
      </c>
      <c r="G53" s="438" t="s">
        <v>151</v>
      </c>
      <c r="H53" s="524" t="s">
        <v>1513</v>
      </c>
      <c r="I53" s="524" t="s">
        <v>1519</v>
      </c>
      <c r="J53" s="523">
        <v>71684761</v>
      </c>
      <c r="K53" s="438" t="s">
        <v>1187</v>
      </c>
      <c r="L53" s="191">
        <v>24294</v>
      </c>
      <c r="M53" s="439">
        <f t="shared" ca="1" si="0"/>
        <v>59</v>
      </c>
      <c r="N53" s="438" t="s">
        <v>1588</v>
      </c>
      <c r="O53" s="525">
        <v>3104216015</v>
      </c>
      <c r="P53" s="524" t="s">
        <v>1520</v>
      </c>
      <c r="Q53" s="438" t="s">
        <v>1516</v>
      </c>
      <c r="R53" s="234" t="s">
        <v>333</v>
      </c>
      <c r="S53" s="235" t="s">
        <v>663</v>
      </c>
      <c r="T53" s="537">
        <v>45929</v>
      </c>
      <c r="U53" s="468" t="s">
        <v>160</v>
      </c>
      <c r="V53" s="144" t="s">
        <v>210</v>
      </c>
    </row>
    <row r="54" spans="4:22" ht="15">
      <c r="E54" s="438">
        <v>90</v>
      </c>
      <c r="F54" s="200" t="s">
        <v>1577</v>
      </c>
      <c r="G54" s="438" t="s">
        <v>151</v>
      </c>
      <c r="H54" s="524" t="s">
        <v>1513</v>
      </c>
      <c r="I54" s="524" t="s">
        <v>1521</v>
      </c>
      <c r="J54" s="523">
        <v>8253321</v>
      </c>
      <c r="K54" s="438" t="s">
        <v>1187</v>
      </c>
      <c r="L54" s="191">
        <v>16341</v>
      </c>
      <c r="M54" s="439">
        <f t="shared" ca="1" si="0"/>
        <v>81</v>
      </c>
      <c r="N54" s="438" t="s">
        <v>1588</v>
      </c>
      <c r="O54" s="525">
        <v>3128500747</v>
      </c>
      <c r="P54" s="524" t="s">
        <v>1515</v>
      </c>
      <c r="Q54" s="438" t="s">
        <v>1516</v>
      </c>
      <c r="R54" s="234" t="s">
        <v>333</v>
      </c>
      <c r="S54" s="235" t="s">
        <v>663</v>
      </c>
      <c r="T54" s="537">
        <v>45929</v>
      </c>
      <c r="U54" s="468" t="s">
        <v>160</v>
      </c>
      <c r="V54" s="144" t="s">
        <v>210</v>
      </c>
    </row>
    <row r="55" spans="4:22" ht="15">
      <c r="E55" s="438">
        <v>90</v>
      </c>
      <c r="F55" s="200" t="s">
        <v>1577</v>
      </c>
      <c r="G55" s="438" t="s">
        <v>151</v>
      </c>
      <c r="H55" s="524" t="s">
        <v>1513</v>
      </c>
      <c r="I55" s="524" t="s">
        <v>1522</v>
      </c>
      <c r="J55" s="523">
        <v>32242994</v>
      </c>
      <c r="K55" s="438" t="s">
        <v>1191</v>
      </c>
      <c r="L55" s="191">
        <v>30506</v>
      </c>
      <c r="M55" s="439">
        <f t="shared" ca="1" si="0"/>
        <v>42</v>
      </c>
      <c r="N55" s="438" t="s">
        <v>1588</v>
      </c>
      <c r="O55" s="525">
        <v>3206941210</v>
      </c>
      <c r="P55" s="524" t="s">
        <v>1515</v>
      </c>
      <c r="Q55" s="438" t="s">
        <v>1516</v>
      </c>
      <c r="R55" s="234" t="s">
        <v>333</v>
      </c>
      <c r="S55" s="235" t="s">
        <v>663</v>
      </c>
      <c r="T55" s="537">
        <v>45929</v>
      </c>
      <c r="U55" s="468" t="s">
        <v>160</v>
      </c>
      <c r="V55" s="144" t="s">
        <v>210</v>
      </c>
    </row>
    <row r="56" spans="4:22" ht="15">
      <c r="E56" s="438">
        <v>90</v>
      </c>
      <c r="F56" s="200" t="s">
        <v>1577</v>
      </c>
      <c r="G56" s="438" t="s">
        <v>151</v>
      </c>
      <c r="H56" s="524" t="s">
        <v>1513</v>
      </c>
      <c r="I56" s="524" t="s">
        <v>1523</v>
      </c>
      <c r="J56" s="523">
        <v>43046729</v>
      </c>
      <c r="K56" s="438" t="s">
        <v>1191</v>
      </c>
      <c r="L56" s="191">
        <v>22991</v>
      </c>
      <c r="M56" s="439">
        <f t="shared" ca="1" si="0"/>
        <v>63</v>
      </c>
      <c r="N56" s="438" t="s">
        <v>1588</v>
      </c>
      <c r="O56" s="525">
        <v>3188270428</v>
      </c>
      <c r="P56" s="524" t="s">
        <v>1515</v>
      </c>
      <c r="Q56" s="438" t="s">
        <v>1516</v>
      </c>
      <c r="R56" s="234" t="s">
        <v>333</v>
      </c>
      <c r="S56" s="235" t="s">
        <v>663</v>
      </c>
      <c r="T56" s="537">
        <v>45929</v>
      </c>
      <c r="U56" s="468" t="s">
        <v>160</v>
      </c>
      <c r="V56" s="144" t="s">
        <v>210</v>
      </c>
    </row>
    <row r="57" spans="4:22" ht="15">
      <c r="D57" s="761" t="s">
        <v>2290</v>
      </c>
      <c r="E57" s="763">
        <v>90</v>
      </c>
      <c r="F57" s="755" t="s">
        <v>1577</v>
      </c>
      <c r="G57" s="763" t="s">
        <v>151</v>
      </c>
      <c r="H57" s="929" t="s">
        <v>1524</v>
      </c>
      <c r="I57" s="929" t="s">
        <v>1525</v>
      </c>
      <c r="J57" s="930">
        <v>1000535505</v>
      </c>
      <c r="K57" s="763" t="s">
        <v>1191</v>
      </c>
      <c r="L57" s="765">
        <v>37488</v>
      </c>
      <c r="M57" s="766">
        <f t="shared" ca="1" si="0"/>
        <v>23</v>
      </c>
      <c r="N57" s="763" t="s">
        <v>1588</v>
      </c>
      <c r="O57" s="937">
        <v>3003043066</v>
      </c>
      <c r="P57" s="929" t="s">
        <v>1526</v>
      </c>
      <c r="Q57" s="763" t="s">
        <v>1440</v>
      </c>
      <c r="R57" s="821" t="s">
        <v>333</v>
      </c>
      <c r="S57" s="822" t="s">
        <v>663</v>
      </c>
      <c r="T57" s="933">
        <v>45929</v>
      </c>
      <c r="U57" s="768" t="s">
        <v>166</v>
      </c>
      <c r="V57" s="769" t="s">
        <v>188</v>
      </c>
    </row>
    <row r="58" spans="4:22" ht="15">
      <c r="E58" s="440">
        <v>90</v>
      </c>
      <c r="F58" s="195" t="s">
        <v>1577</v>
      </c>
      <c r="G58" s="440" t="s">
        <v>151</v>
      </c>
      <c r="H58" s="527" t="s">
        <v>1524</v>
      </c>
      <c r="I58" s="527" t="s">
        <v>1527</v>
      </c>
      <c r="J58" s="526">
        <v>1111123908</v>
      </c>
      <c r="K58" s="440" t="s">
        <v>1191</v>
      </c>
      <c r="L58" s="177">
        <v>39139</v>
      </c>
      <c r="M58" s="441">
        <f t="shared" ca="1" si="0"/>
        <v>19</v>
      </c>
      <c r="N58" s="440" t="s">
        <v>1588</v>
      </c>
      <c r="O58" s="528">
        <v>3142833512</v>
      </c>
      <c r="P58" s="527" t="s">
        <v>1528</v>
      </c>
      <c r="Q58" s="440" t="s">
        <v>1440</v>
      </c>
      <c r="R58" s="236" t="s">
        <v>333</v>
      </c>
      <c r="S58" s="237" t="s">
        <v>461</v>
      </c>
      <c r="T58" s="538">
        <v>45929</v>
      </c>
      <c r="U58" s="469" t="s">
        <v>160</v>
      </c>
      <c r="V58" s="144" t="s">
        <v>188</v>
      </c>
    </row>
    <row r="59" spans="4:22" ht="15">
      <c r="E59" s="440">
        <v>90</v>
      </c>
      <c r="F59" s="195" t="s">
        <v>1577</v>
      </c>
      <c r="G59" s="440" t="s">
        <v>151</v>
      </c>
      <c r="H59" s="527" t="s">
        <v>1524</v>
      </c>
      <c r="I59" s="527" t="s">
        <v>1529</v>
      </c>
      <c r="J59" s="526">
        <v>1017155925</v>
      </c>
      <c r="K59" s="440" t="s">
        <v>1187</v>
      </c>
      <c r="L59" s="177">
        <v>32086</v>
      </c>
      <c r="M59" s="441">
        <f t="shared" ca="1" si="0"/>
        <v>38</v>
      </c>
      <c r="N59" s="440" t="s">
        <v>1588</v>
      </c>
      <c r="O59" s="528">
        <v>3235862482</v>
      </c>
      <c r="P59" s="527" t="s">
        <v>1530</v>
      </c>
      <c r="Q59" s="440" t="s">
        <v>1440</v>
      </c>
      <c r="R59" s="236" t="s">
        <v>333</v>
      </c>
      <c r="S59" s="237" t="s">
        <v>663</v>
      </c>
      <c r="T59" s="538">
        <v>45929</v>
      </c>
      <c r="U59" s="469" t="s">
        <v>160</v>
      </c>
      <c r="V59" s="144" t="s">
        <v>210</v>
      </c>
    </row>
    <row r="60" spans="4:22" ht="15">
      <c r="E60" s="440">
        <v>90</v>
      </c>
      <c r="F60" s="195" t="s">
        <v>1577</v>
      </c>
      <c r="G60" s="440" t="s">
        <v>151</v>
      </c>
      <c r="H60" s="527" t="s">
        <v>1524</v>
      </c>
      <c r="I60" s="527" t="s">
        <v>1531</v>
      </c>
      <c r="J60" s="526">
        <v>71792399</v>
      </c>
      <c r="K60" s="440" t="s">
        <v>1187</v>
      </c>
      <c r="L60" s="177">
        <v>28433</v>
      </c>
      <c r="M60" s="441">
        <f t="shared" ca="1" si="0"/>
        <v>48</v>
      </c>
      <c r="N60" s="440" t="s">
        <v>1588</v>
      </c>
      <c r="O60" s="528">
        <v>3147149206</v>
      </c>
      <c r="P60" s="527" t="s">
        <v>1532</v>
      </c>
      <c r="Q60" s="440" t="s">
        <v>1440</v>
      </c>
      <c r="R60" s="236" t="s">
        <v>333</v>
      </c>
      <c r="S60" s="237" t="s">
        <v>663</v>
      </c>
      <c r="T60" s="538">
        <v>45929</v>
      </c>
      <c r="U60" s="469" t="s">
        <v>160</v>
      </c>
      <c r="V60" s="144" t="s">
        <v>210</v>
      </c>
    </row>
    <row r="61" spans="4:22" ht="15">
      <c r="E61" s="440">
        <v>90</v>
      </c>
      <c r="F61" s="195" t="s">
        <v>1577</v>
      </c>
      <c r="G61" s="440" t="s">
        <v>151</v>
      </c>
      <c r="H61" s="527" t="s">
        <v>1524</v>
      </c>
      <c r="I61" s="527" t="s">
        <v>1533</v>
      </c>
      <c r="J61" s="526">
        <v>1020413019</v>
      </c>
      <c r="K61" s="440" t="s">
        <v>1191</v>
      </c>
      <c r="L61" s="177">
        <v>32136</v>
      </c>
      <c r="M61" s="441">
        <f t="shared" ca="1" si="0"/>
        <v>38</v>
      </c>
      <c r="N61" s="440" t="s">
        <v>1588</v>
      </c>
      <c r="O61" s="528">
        <v>3003684713</v>
      </c>
      <c r="P61" s="527" t="s">
        <v>1534</v>
      </c>
      <c r="Q61" s="440" t="s">
        <v>1440</v>
      </c>
      <c r="R61" s="236" t="s">
        <v>333</v>
      </c>
      <c r="S61" s="237" t="s">
        <v>663</v>
      </c>
      <c r="T61" s="538">
        <v>45929</v>
      </c>
      <c r="U61" s="469" t="s">
        <v>160</v>
      </c>
      <c r="V61" s="144" t="s">
        <v>210</v>
      </c>
    </row>
    <row r="62" spans="4:22" ht="15">
      <c r="E62" s="440">
        <v>90</v>
      </c>
      <c r="F62" s="195" t="s">
        <v>1577</v>
      </c>
      <c r="G62" s="440" t="s">
        <v>151</v>
      </c>
      <c r="H62" s="527" t="s">
        <v>1524</v>
      </c>
      <c r="I62" s="527" t="s">
        <v>1535</v>
      </c>
      <c r="J62" s="526">
        <v>98761473</v>
      </c>
      <c r="K62" s="440" t="s">
        <v>1187</v>
      </c>
      <c r="L62" s="177">
        <v>31108</v>
      </c>
      <c r="M62" s="441">
        <f t="shared" ca="1" si="0"/>
        <v>41</v>
      </c>
      <c r="N62" s="440" t="s">
        <v>1588</v>
      </c>
      <c r="O62" s="528">
        <v>3135679281</v>
      </c>
      <c r="P62" s="527" t="s">
        <v>1532</v>
      </c>
      <c r="Q62" s="440" t="s">
        <v>1440</v>
      </c>
      <c r="R62" s="236" t="s">
        <v>333</v>
      </c>
      <c r="S62" s="237" t="s">
        <v>663</v>
      </c>
      <c r="T62" s="538">
        <v>45929</v>
      </c>
      <c r="U62" s="469" t="s">
        <v>160</v>
      </c>
      <c r="V62" s="144" t="s">
        <v>210</v>
      </c>
    </row>
    <row r="63" spans="4:22" ht="15">
      <c r="D63" s="761" t="s">
        <v>2290</v>
      </c>
      <c r="E63" s="763">
        <v>90</v>
      </c>
      <c r="F63" s="755" t="s">
        <v>1577</v>
      </c>
      <c r="G63" s="763" t="s">
        <v>151</v>
      </c>
      <c r="H63" s="929" t="s">
        <v>1536</v>
      </c>
      <c r="I63" s="929" t="s">
        <v>1551</v>
      </c>
      <c r="J63" s="930">
        <v>43814556</v>
      </c>
      <c r="K63" s="763" t="s">
        <v>1191</v>
      </c>
      <c r="L63" s="765">
        <v>27154</v>
      </c>
      <c r="M63" s="766">
        <f t="shared" ca="1" si="0"/>
        <v>52</v>
      </c>
      <c r="N63" s="763" t="s">
        <v>1588</v>
      </c>
      <c r="O63" s="937">
        <v>3013892131</v>
      </c>
      <c r="P63" s="929" t="s">
        <v>1537</v>
      </c>
      <c r="Q63" s="763" t="s">
        <v>1291</v>
      </c>
      <c r="R63" s="821" t="s">
        <v>333</v>
      </c>
      <c r="S63" s="822" t="s">
        <v>230</v>
      </c>
      <c r="T63" s="933">
        <v>45945</v>
      </c>
      <c r="U63" s="768" t="s">
        <v>166</v>
      </c>
      <c r="V63" s="761" t="s">
        <v>210</v>
      </c>
    </row>
    <row r="64" spans="4:22" ht="15">
      <c r="E64" s="442">
        <v>90</v>
      </c>
      <c r="F64" s="196" t="s">
        <v>1577</v>
      </c>
      <c r="G64" s="442" t="s">
        <v>151</v>
      </c>
      <c r="H64" s="530" t="s">
        <v>1536</v>
      </c>
      <c r="I64" s="530" t="s">
        <v>1538</v>
      </c>
      <c r="J64" s="529">
        <v>71319856</v>
      </c>
      <c r="K64" s="442" t="s">
        <v>1187</v>
      </c>
      <c r="L64" s="178">
        <v>29527</v>
      </c>
      <c r="M64" s="443">
        <f t="shared" ca="1" si="0"/>
        <v>45</v>
      </c>
      <c r="N64" s="442" t="s">
        <v>1588</v>
      </c>
      <c r="O64" s="532">
        <v>3045566483</v>
      </c>
      <c r="P64" s="530" t="s">
        <v>1539</v>
      </c>
      <c r="Q64" s="442" t="s">
        <v>1291</v>
      </c>
      <c r="R64" s="284" t="s">
        <v>333</v>
      </c>
      <c r="S64" s="285" t="s">
        <v>193</v>
      </c>
      <c r="T64" s="539">
        <v>45945</v>
      </c>
      <c r="U64" s="470" t="s">
        <v>160</v>
      </c>
      <c r="V64" s="144" t="s">
        <v>210</v>
      </c>
    </row>
    <row r="65" spans="5:22" ht="15">
      <c r="E65" s="442">
        <v>90</v>
      </c>
      <c r="F65" s="196" t="s">
        <v>1577</v>
      </c>
      <c r="G65" s="442" t="s">
        <v>151</v>
      </c>
      <c r="H65" s="530" t="s">
        <v>1536</v>
      </c>
      <c r="I65" s="530" t="s">
        <v>1540</v>
      </c>
      <c r="J65" s="529">
        <v>39434775</v>
      </c>
      <c r="K65" s="442" t="s">
        <v>1191</v>
      </c>
      <c r="L65" s="178">
        <v>22336</v>
      </c>
      <c r="M65" s="443">
        <f t="shared" ca="1" si="0"/>
        <v>65</v>
      </c>
      <c r="N65" s="442" t="s">
        <v>1588</v>
      </c>
      <c r="O65" s="532">
        <v>3107323622</v>
      </c>
      <c r="P65" s="530" t="s">
        <v>1541</v>
      </c>
      <c r="Q65" s="442" t="s">
        <v>1291</v>
      </c>
      <c r="R65" s="284" t="s">
        <v>891</v>
      </c>
      <c r="S65" s="285" t="s">
        <v>461</v>
      </c>
      <c r="T65" s="539">
        <v>45945</v>
      </c>
      <c r="U65" s="470" t="s">
        <v>160</v>
      </c>
      <c r="V65" s="144" t="s">
        <v>210</v>
      </c>
    </row>
    <row r="66" spans="5:22" ht="15">
      <c r="E66" s="442">
        <v>90</v>
      </c>
      <c r="F66" s="196" t="s">
        <v>1577</v>
      </c>
      <c r="G66" s="442" t="s">
        <v>151</v>
      </c>
      <c r="H66" s="530" t="s">
        <v>1536</v>
      </c>
      <c r="I66" s="530" t="s">
        <v>1542</v>
      </c>
      <c r="J66" s="529">
        <v>98762481</v>
      </c>
      <c r="K66" s="442" t="s">
        <v>1187</v>
      </c>
      <c r="L66" s="178">
        <v>31084</v>
      </c>
      <c r="M66" s="443">
        <f t="shared" ca="1" si="0"/>
        <v>41</v>
      </c>
      <c r="N66" s="442" t="s">
        <v>1588</v>
      </c>
      <c r="O66" s="532">
        <v>3183115324</v>
      </c>
      <c r="P66" s="530" t="s">
        <v>1537</v>
      </c>
      <c r="Q66" s="442" t="s">
        <v>1291</v>
      </c>
      <c r="R66" s="284" t="s">
        <v>333</v>
      </c>
      <c r="S66" s="285" t="s">
        <v>663</v>
      </c>
      <c r="T66" s="539">
        <v>45945</v>
      </c>
      <c r="U66" s="470" t="s">
        <v>160</v>
      </c>
      <c r="V66" s="144" t="s">
        <v>210</v>
      </c>
    </row>
    <row r="67" spans="5:22" ht="15">
      <c r="E67" s="442">
        <v>90</v>
      </c>
      <c r="F67" s="196" t="s">
        <v>1577</v>
      </c>
      <c r="G67" s="442" t="s">
        <v>151</v>
      </c>
      <c r="H67" s="530" t="s">
        <v>1536</v>
      </c>
      <c r="I67" s="530" t="s">
        <v>1543</v>
      </c>
      <c r="J67" s="529">
        <v>70751441</v>
      </c>
      <c r="K67" s="442" t="s">
        <v>1187</v>
      </c>
      <c r="L67" s="178">
        <v>22983</v>
      </c>
      <c r="M67" s="443">
        <f t="shared" ca="1" si="0"/>
        <v>63</v>
      </c>
      <c r="N67" s="442" t="s">
        <v>1588</v>
      </c>
      <c r="O67" s="532">
        <v>3104266182</v>
      </c>
      <c r="P67" s="530" t="s">
        <v>1544</v>
      </c>
      <c r="Q67" s="442" t="s">
        <v>1291</v>
      </c>
      <c r="R67" s="284" t="s">
        <v>333</v>
      </c>
      <c r="S67" s="285" t="s">
        <v>663</v>
      </c>
      <c r="T67" s="539">
        <v>45945</v>
      </c>
      <c r="U67" s="470" t="s">
        <v>160</v>
      </c>
      <c r="V67" s="144" t="s">
        <v>210</v>
      </c>
    </row>
    <row r="68" spans="5:22" ht="15">
      <c r="E68" s="442">
        <v>90</v>
      </c>
      <c r="F68" s="196" t="s">
        <v>1577</v>
      </c>
      <c r="G68" s="442" t="s">
        <v>151</v>
      </c>
      <c r="H68" s="530" t="s">
        <v>1536</v>
      </c>
      <c r="I68" s="530" t="s">
        <v>1545</v>
      </c>
      <c r="J68" s="529">
        <v>1148205843</v>
      </c>
      <c r="K68" s="442" t="s">
        <v>1191</v>
      </c>
      <c r="L68" s="178">
        <v>35256</v>
      </c>
      <c r="M68" s="443">
        <f t="shared" ca="1" si="0"/>
        <v>29</v>
      </c>
      <c r="N68" s="442" t="s">
        <v>1588</v>
      </c>
      <c r="O68" s="532">
        <v>3207618755</v>
      </c>
      <c r="P68" s="530" t="s">
        <v>1537</v>
      </c>
      <c r="Q68" s="442" t="s">
        <v>1291</v>
      </c>
      <c r="R68" s="284" t="s">
        <v>333</v>
      </c>
      <c r="S68" s="285" t="s">
        <v>663</v>
      </c>
      <c r="T68" s="539">
        <v>45945</v>
      </c>
      <c r="U68" s="470" t="s">
        <v>160</v>
      </c>
      <c r="V68" s="144" t="s">
        <v>210</v>
      </c>
    </row>
  </sheetData>
  <dataValidations count="7">
    <dataValidation type="list" allowBlank="1" showInputMessage="1" showErrorMessage="1" sqref="U3:U68" xr:uid="{D1826542-6C10-4AE1-8B1B-DD642B51FB92}">
      <formula1>$A$18:$A$20</formula1>
    </dataValidation>
    <dataValidation type="list" allowBlank="1" showInputMessage="1" showErrorMessage="1" sqref="N3:N68" xr:uid="{0E83C79D-9348-410E-9D46-CB19084AE317}">
      <formula1>$A$8:$A$17</formula1>
    </dataValidation>
    <dataValidation type="list" allowBlank="1" showInputMessage="1" showErrorMessage="1" sqref="K3:K68" xr:uid="{1D7CBB6B-51B7-4BED-83E2-15CF88A15C59}">
      <formula1>$A$4:$A$7</formula1>
    </dataValidation>
    <dataValidation type="list" allowBlank="1" showInputMessage="1" showErrorMessage="1" sqref="G3:G68" xr:uid="{7D59104C-C915-4FD8-9FDB-D061D128194B}">
      <formula1>$A$1:$A$3</formula1>
    </dataValidation>
    <dataValidation type="list" allowBlank="1" showInputMessage="1" showErrorMessage="1" sqref="Q3:Q68" xr:uid="{2A44FEEC-BA5C-491E-BCFE-E53B7C6F907C}">
      <formula1>$A$21:$A$32</formula1>
    </dataValidation>
    <dataValidation type="list" allowBlank="1" showInputMessage="1" showErrorMessage="1" sqref="R3:R68" xr:uid="{FD56C0F2-A80A-407E-9EB0-052BB87FCE8B}">
      <formula1>$B$5:$B$11</formula1>
    </dataValidation>
    <dataValidation type="list" allowBlank="1" showInputMessage="1" showErrorMessage="1" sqref="S3:S68" xr:uid="{4C3DDE2E-B7A2-4A51-A53F-470E4AB36131}">
      <formula1>$B$13:$B$39</formula1>
    </dataValidation>
  </dataValidations>
  <hyperlinks>
    <hyperlink ref="P3" r:id="rId1" xr:uid="{209DACD7-CFA2-495B-AE54-F2D1FBBE8512}"/>
  </hyperlinks>
  <pageMargins left="0.7" right="0.7" top="0.75" bottom="0.75" header="0.3" footer="0.3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7"/>
  <sheetViews>
    <sheetView workbookViewId="0">
      <selection activeCell="B2" sqref="A2:XFD19"/>
    </sheetView>
  </sheetViews>
  <sheetFormatPr baseColWidth="10" defaultColWidth="14.44140625" defaultRowHeight="15" customHeight="1"/>
  <cols>
    <col min="1" max="2" width="14.33203125" customWidth="1"/>
    <col min="3" max="3" width="14.109375" customWidth="1"/>
    <col min="4" max="4" width="22.88671875" customWidth="1"/>
    <col min="5" max="5" width="34.109375" customWidth="1"/>
    <col min="6" max="6" width="14.33203125" customWidth="1"/>
    <col min="7" max="7" width="10.6640625" customWidth="1"/>
    <col min="8" max="8" width="13.5546875" customWidth="1"/>
    <col min="9" max="9" width="10.6640625" customWidth="1"/>
    <col min="10" max="10" width="9.6640625" customWidth="1"/>
    <col min="11" max="11" width="15.109375" customWidth="1"/>
    <col min="12" max="12" width="34.88671875" customWidth="1"/>
    <col min="13" max="13" width="20" customWidth="1"/>
    <col min="14" max="14" width="15.5546875" customWidth="1"/>
    <col min="15" max="15" width="22.33203125" customWidth="1"/>
    <col min="16" max="16" width="13.5546875" customWidth="1"/>
    <col min="17" max="17" width="14.6640625" customWidth="1"/>
    <col min="18" max="18" width="18.88671875" customWidth="1"/>
    <col min="19" max="19" width="18.6640625" customWidth="1"/>
    <col min="20" max="27" width="10.6640625" customWidth="1"/>
  </cols>
  <sheetData>
    <row r="1" spans="1:27" ht="27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7" s="16" customFormat="1" ht="14.4">
      <c r="A2" s="951" t="s">
        <v>21</v>
      </c>
      <c r="B2" s="20" t="s">
        <v>52</v>
      </c>
      <c r="C2" s="21" t="s">
        <v>22</v>
      </c>
      <c r="D2" s="22" t="s">
        <v>53</v>
      </c>
      <c r="E2" s="23" t="s">
        <v>54</v>
      </c>
      <c r="F2" s="23">
        <v>39213876</v>
      </c>
      <c r="G2" s="24" t="s">
        <v>55</v>
      </c>
      <c r="H2" s="25">
        <v>22024</v>
      </c>
      <c r="I2" s="26">
        <v>65</v>
      </c>
      <c r="J2" s="24" t="s">
        <v>56</v>
      </c>
      <c r="K2" s="27">
        <v>3017405133</v>
      </c>
      <c r="L2" s="28" t="s">
        <v>57</v>
      </c>
      <c r="M2" s="24" t="s">
        <v>58</v>
      </c>
      <c r="N2" s="29" t="s">
        <v>59</v>
      </c>
      <c r="O2" s="23" t="s">
        <v>60</v>
      </c>
      <c r="P2" s="23" t="s">
        <v>61</v>
      </c>
      <c r="Q2" s="27" t="s">
        <v>62</v>
      </c>
      <c r="R2" s="30" t="s">
        <v>63</v>
      </c>
      <c r="S2" s="23" t="s">
        <v>64</v>
      </c>
      <c r="T2" s="31"/>
      <c r="U2" s="32" t="s">
        <v>26</v>
      </c>
      <c r="V2" s="33"/>
      <c r="W2" s="33"/>
      <c r="X2" s="33"/>
      <c r="Y2" s="33"/>
      <c r="Z2" s="33"/>
      <c r="AA2" s="33"/>
    </row>
    <row r="3" spans="1:27" s="16" customFormat="1" ht="14.4">
      <c r="A3" s="952"/>
      <c r="B3" s="20" t="s">
        <v>65</v>
      </c>
      <c r="C3" s="21" t="s">
        <v>22</v>
      </c>
      <c r="D3" s="22" t="s">
        <v>53</v>
      </c>
      <c r="E3" s="34" t="s">
        <v>66</v>
      </c>
      <c r="F3" s="34">
        <v>1023643463</v>
      </c>
      <c r="G3" s="35" t="s">
        <v>55</v>
      </c>
      <c r="H3" s="36">
        <v>21446</v>
      </c>
      <c r="I3" s="37">
        <v>66</v>
      </c>
      <c r="J3" s="35" t="s">
        <v>56</v>
      </c>
      <c r="K3" s="38">
        <v>3242615739</v>
      </c>
      <c r="L3" s="39" t="s">
        <v>67</v>
      </c>
      <c r="M3" s="24" t="s">
        <v>58</v>
      </c>
      <c r="N3" s="29" t="s">
        <v>59</v>
      </c>
      <c r="O3" s="34" t="s">
        <v>60</v>
      </c>
      <c r="P3" s="34" t="s">
        <v>61</v>
      </c>
      <c r="Q3" s="38" t="s">
        <v>68</v>
      </c>
      <c r="R3" s="40" t="s">
        <v>36</v>
      </c>
      <c r="S3" s="23" t="s">
        <v>69</v>
      </c>
      <c r="T3" s="31"/>
      <c r="U3" s="32" t="s">
        <v>26</v>
      </c>
      <c r="V3" s="33"/>
      <c r="W3" s="33"/>
      <c r="X3" s="33"/>
      <c r="Y3" s="33"/>
      <c r="Z3" s="33"/>
      <c r="AA3" s="33"/>
    </row>
    <row r="4" spans="1:27" s="16" customFormat="1" ht="14.4">
      <c r="A4" s="952"/>
      <c r="B4" s="20" t="s">
        <v>70</v>
      </c>
      <c r="C4" s="21" t="s">
        <v>22</v>
      </c>
      <c r="D4" s="22" t="s">
        <v>53</v>
      </c>
      <c r="E4" s="34" t="s">
        <v>71</v>
      </c>
      <c r="F4" s="34">
        <v>1146441281</v>
      </c>
      <c r="G4" s="35" t="s">
        <v>72</v>
      </c>
      <c r="H4" s="36">
        <v>29701</v>
      </c>
      <c r="I4" s="37">
        <v>44</v>
      </c>
      <c r="J4" s="35" t="s">
        <v>73</v>
      </c>
      <c r="K4" s="38">
        <v>3243635125</v>
      </c>
      <c r="L4" s="41" t="s">
        <v>74</v>
      </c>
      <c r="M4" s="42" t="s">
        <v>75</v>
      </c>
      <c r="N4" s="29" t="s">
        <v>76</v>
      </c>
      <c r="O4" s="34" t="s">
        <v>77</v>
      </c>
      <c r="P4" s="34" t="s">
        <v>78</v>
      </c>
      <c r="Q4" s="38" t="s">
        <v>79</v>
      </c>
      <c r="R4" s="40" t="s">
        <v>80</v>
      </c>
      <c r="S4" s="23" t="s">
        <v>64</v>
      </c>
      <c r="T4" s="31"/>
      <c r="U4" s="32" t="s">
        <v>26</v>
      </c>
      <c r="V4" s="33"/>
      <c r="W4" s="33"/>
      <c r="X4" s="33"/>
      <c r="Y4" s="33"/>
      <c r="Z4" s="33"/>
      <c r="AA4" s="33"/>
    </row>
    <row r="5" spans="1:27" s="16" customFormat="1" ht="14.4">
      <c r="A5" s="952"/>
      <c r="B5" s="20" t="s">
        <v>81</v>
      </c>
      <c r="C5" s="21" t="s">
        <v>22</v>
      </c>
      <c r="D5" s="22" t="s">
        <v>53</v>
      </c>
      <c r="E5" s="34" t="s">
        <v>82</v>
      </c>
      <c r="F5" s="34">
        <v>1011397787</v>
      </c>
      <c r="G5" s="35" t="s">
        <v>72</v>
      </c>
      <c r="H5" s="36">
        <v>27252</v>
      </c>
      <c r="I5" s="37">
        <v>50</v>
      </c>
      <c r="J5" s="35" t="s">
        <v>56</v>
      </c>
      <c r="K5" s="38">
        <v>3042042978</v>
      </c>
      <c r="L5" s="39" t="s">
        <v>83</v>
      </c>
      <c r="M5" s="24" t="s">
        <v>58</v>
      </c>
      <c r="N5" s="29" t="s">
        <v>76</v>
      </c>
      <c r="O5" s="34" t="s">
        <v>84</v>
      </c>
      <c r="P5" s="34" t="s">
        <v>61</v>
      </c>
      <c r="Q5" s="38" t="s">
        <v>79</v>
      </c>
      <c r="R5" s="40" t="s">
        <v>85</v>
      </c>
      <c r="S5" s="23" t="s">
        <v>64</v>
      </c>
      <c r="T5" s="31"/>
      <c r="U5" s="32" t="s">
        <v>26</v>
      </c>
      <c r="V5" s="33"/>
      <c r="W5" s="33"/>
      <c r="X5" s="33"/>
      <c r="Y5" s="33"/>
      <c r="Z5" s="33"/>
      <c r="AA5" s="33"/>
    </row>
    <row r="6" spans="1:27" s="16" customFormat="1" ht="14.4">
      <c r="A6" s="952"/>
      <c r="B6" s="20" t="s">
        <v>86</v>
      </c>
      <c r="C6" s="21" t="s">
        <v>22</v>
      </c>
      <c r="D6" s="22" t="s">
        <v>53</v>
      </c>
      <c r="E6" s="34" t="s">
        <v>87</v>
      </c>
      <c r="F6" s="34">
        <v>1035434038</v>
      </c>
      <c r="G6" s="35" t="s">
        <v>72</v>
      </c>
      <c r="H6" s="36">
        <v>28704</v>
      </c>
      <c r="I6" s="37">
        <v>46</v>
      </c>
      <c r="J6" s="35" t="s">
        <v>56</v>
      </c>
      <c r="K6" s="38">
        <v>3242615732</v>
      </c>
      <c r="L6" s="39" t="s">
        <v>88</v>
      </c>
      <c r="M6" s="35" t="s">
        <v>75</v>
      </c>
      <c r="N6" s="29" t="s">
        <v>89</v>
      </c>
      <c r="O6" s="34" t="s">
        <v>84</v>
      </c>
      <c r="P6" s="34" t="s">
        <v>90</v>
      </c>
      <c r="Q6" s="38" t="s">
        <v>91</v>
      </c>
      <c r="R6" s="40" t="s">
        <v>80</v>
      </c>
      <c r="S6" s="23" t="s">
        <v>64</v>
      </c>
      <c r="T6" s="31"/>
      <c r="U6" s="32" t="s">
        <v>26</v>
      </c>
      <c r="V6" s="33"/>
      <c r="W6" s="33"/>
      <c r="X6" s="33"/>
      <c r="Y6" s="33"/>
      <c r="Z6" s="33"/>
      <c r="AA6" s="33"/>
    </row>
    <row r="7" spans="1:27" s="16" customFormat="1" ht="14.4">
      <c r="A7" s="952"/>
      <c r="B7" s="20" t="s">
        <v>92</v>
      </c>
      <c r="C7" s="21" t="s">
        <v>22</v>
      </c>
      <c r="D7" s="22" t="s">
        <v>53</v>
      </c>
      <c r="E7" s="34" t="s">
        <v>93</v>
      </c>
      <c r="F7" s="34">
        <v>1001363337</v>
      </c>
      <c r="G7" s="35" t="s">
        <v>55</v>
      </c>
      <c r="H7" s="36">
        <v>37353</v>
      </c>
      <c r="I7" s="37">
        <v>23</v>
      </c>
      <c r="J7" s="35" t="s">
        <v>73</v>
      </c>
      <c r="K7" s="38">
        <v>3502166035</v>
      </c>
      <c r="L7" s="39" t="s">
        <v>94</v>
      </c>
      <c r="M7" s="35" t="s">
        <v>75</v>
      </c>
      <c r="N7" s="29" t="s">
        <v>95</v>
      </c>
      <c r="O7" s="34" t="s">
        <v>96</v>
      </c>
      <c r="P7" s="34" t="s">
        <v>61</v>
      </c>
      <c r="Q7" s="38" t="s">
        <v>79</v>
      </c>
      <c r="R7" s="40">
        <v>2025</v>
      </c>
      <c r="S7" s="23" t="s">
        <v>64</v>
      </c>
      <c r="T7" s="31"/>
      <c r="U7" s="32" t="s">
        <v>26</v>
      </c>
      <c r="V7" s="33"/>
      <c r="W7" s="33"/>
      <c r="X7" s="33"/>
      <c r="Y7" s="33"/>
      <c r="Z7" s="33"/>
      <c r="AA7" s="33"/>
    </row>
    <row r="8" spans="1:27" s="16" customFormat="1" ht="14.4">
      <c r="A8" s="952"/>
      <c r="B8" s="20" t="s">
        <v>97</v>
      </c>
      <c r="C8" s="21" t="s">
        <v>22</v>
      </c>
      <c r="D8" s="22" t="s">
        <v>53</v>
      </c>
      <c r="E8" s="34" t="s">
        <v>98</v>
      </c>
      <c r="F8" s="34">
        <v>43816639</v>
      </c>
      <c r="G8" s="35" t="s">
        <v>55</v>
      </c>
      <c r="H8" s="36">
        <v>39464</v>
      </c>
      <c r="I8" s="37">
        <v>17</v>
      </c>
      <c r="J8" s="35" t="s">
        <v>56</v>
      </c>
      <c r="K8" s="38">
        <v>3043882596</v>
      </c>
      <c r="L8" s="39" t="s">
        <v>99</v>
      </c>
      <c r="M8" s="35" t="s">
        <v>100</v>
      </c>
      <c r="N8" s="29" t="s">
        <v>76</v>
      </c>
      <c r="O8" s="34" t="s">
        <v>101</v>
      </c>
      <c r="P8" s="34" t="s">
        <v>61</v>
      </c>
      <c r="Q8" s="38" t="s">
        <v>68</v>
      </c>
      <c r="R8" s="40">
        <v>2025</v>
      </c>
      <c r="S8" s="23" t="s">
        <v>64</v>
      </c>
      <c r="T8" s="31"/>
      <c r="U8" s="32" t="s">
        <v>26</v>
      </c>
      <c r="V8" s="33"/>
      <c r="W8" s="33"/>
      <c r="X8" s="33"/>
      <c r="Y8" s="33"/>
      <c r="Z8" s="33"/>
      <c r="AA8" s="33"/>
    </row>
    <row r="9" spans="1:27" s="16" customFormat="1" ht="14.4">
      <c r="A9" s="952"/>
      <c r="B9" s="20" t="s">
        <v>102</v>
      </c>
      <c r="C9" s="21" t="s">
        <v>22</v>
      </c>
      <c r="D9" s="22" t="s">
        <v>53</v>
      </c>
      <c r="E9" s="34" t="s">
        <v>103</v>
      </c>
      <c r="F9" s="34">
        <v>15332465</v>
      </c>
      <c r="G9" s="35" t="s">
        <v>55</v>
      </c>
      <c r="H9" s="36">
        <v>36230</v>
      </c>
      <c r="I9" s="37">
        <v>25</v>
      </c>
      <c r="J9" s="35" t="s">
        <v>56</v>
      </c>
      <c r="K9" s="38">
        <v>3167639532</v>
      </c>
      <c r="L9" s="39" t="s">
        <v>104</v>
      </c>
      <c r="M9" s="35" t="s">
        <v>105</v>
      </c>
      <c r="N9" s="29" t="s">
        <v>76</v>
      </c>
      <c r="O9" s="34" t="s">
        <v>106</v>
      </c>
      <c r="P9" s="34" t="s">
        <v>61</v>
      </c>
      <c r="Q9" s="38" t="s">
        <v>107</v>
      </c>
      <c r="R9" s="40">
        <v>2025</v>
      </c>
      <c r="S9" s="23" t="s">
        <v>64</v>
      </c>
      <c r="T9" s="31"/>
      <c r="U9" s="32" t="s">
        <v>26</v>
      </c>
      <c r="V9" s="33"/>
      <c r="W9" s="33"/>
      <c r="X9" s="33"/>
      <c r="Y9" s="33"/>
      <c r="Z9" s="33"/>
      <c r="AA9" s="33"/>
    </row>
    <row r="10" spans="1:27" s="16" customFormat="1" ht="14.4">
      <c r="A10" s="952"/>
      <c r="B10" s="20" t="s">
        <v>108</v>
      </c>
      <c r="C10" s="21" t="s">
        <v>22</v>
      </c>
      <c r="D10" s="22" t="s">
        <v>53</v>
      </c>
      <c r="E10" s="34" t="s">
        <v>109</v>
      </c>
      <c r="F10" s="34">
        <v>3536040</v>
      </c>
      <c r="G10" s="35" t="s">
        <v>55</v>
      </c>
      <c r="H10" s="36">
        <v>17265</v>
      </c>
      <c r="I10" s="37">
        <v>78</v>
      </c>
      <c r="J10" s="35" t="s">
        <v>73</v>
      </c>
      <c r="K10" s="38">
        <v>3160506026</v>
      </c>
      <c r="L10" s="39" t="s">
        <v>110</v>
      </c>
      <c r="M10" s="35" t="s">
        <v>75</v>
      </c>
      <c r="N10" s="29" t="s">
        <v>59</v>
      </c>
      <c r="O10" s="34" t="s">
        <v>60</v>
      </c>
      <c r="P10" s="34" t="s">
        <v>61</v>
      </c>
      <c r="Q10" s="38" t="s">
        <v>79</v>
      </c>
      <c r="R10" s="40" t="s">
        <v>111</v>
      </c>
      <c r="S10" s="23" t="s">
        <v>64</v>
      </c>
      <c r="T10" s="31"/>
      <c r="U10" s="32" t="s">
        <v>26</v>
      </c>
      <c r="V10" s="33"/>
      <c r="W10" s="33"/>
      <c r="X10" s="33"/>
      <c r="Y10" s="33"/>
      <c r="Z10" s="33"/>
      <c r="AA10" s="33"/>
    </row>
    <row r="11" spans="1:27" s="16" customFormat="1" ht="14.4">
      <c r="A11" s="952"/>
      <c r="B11" s="20" t="s">
        <v>112</v>
      </c>
      <c r="C11" s="21" t="s">
        <v>22</v>
      </c>
      <c r="D11" s="22" t="s">
        <v>53</v>
      </c>
      <c r="E11" s="34" t="s">
        <v>113</v>
      </c>
      <c r="F11" s="34">
        <v>351434886</v>
      </c>
      <c r="G11" s="35" t="s">
        <v>72</v>
      </c>
      <c r="H11" s="36">
        <v>41027</v>
      </c>
      <c r="I11" s="37">
        <v>14</v>
      </c>
      <c r="J11" s="35" t="s">
        <v>114</v>
      </c>
      <c r="K11" s="38">
        <v>3019536303</v>
      </c>
      <c r="L11" s="39" t="s">
        <v>115</v>
      </c>
      <c r="M11" s="24" t="s">
        <v>58</v>
      </c>
      <c r="N11" s="29" t="s">
        <v>95</v>
      </c>
      <c r="O11" s="34" t="s">
        <v>116</v>
      </c>
      <c r="P11" s="34" t="s">
        <v>90</v>
      </c>
      <c r="Q11" s="38" t="s">
        <v>79</v>
      </c>
      <c r="R11" s="40" t="s">
        <v>117</v>
      </c>
      <c r="S11" s="23" t="s">
        <v>64</v>
      </c>
      <c r="T11" s="31"/>
      <c r="U11" s="32" t="s">
        <v>26</v>
      </c>
      <c r="V11" s="33"/>
      <c r="W11" s="33"/>
      <c r="X11" s="33"/>
      <c r="Y11" s="33"/>
      <c r="Z11" s="33"/>
      <c r="AA11" s="33"/>
    </row>
    <row r="12" spans="1:27" s="16" customFormat="1" ht="14.4">
      <c r="A12" s="952"/>
      <c r="B12" s="20" t="s">
        <v>118</v>
      </c>
      <c r="C12" s="21" t="s">
        <v>22</v>
      </c>
      <c r="D12" s="22" t="s">
        <v>53</v>
      </c>
      <c r="E12" s="34" t="s">
        <v>119</v>
      </c>
      <c r="F12" s="34">
        <v>6212786</v>
      </c>
      <c r="G12" s="35" t="s">
        <v>72</v>
      </c>
      <c r="H12" s="36">
        <v>34932</v>
      </c>
      <c r="I12" s="37">
        <v>29</v>
      </c>
      <c r="J12" s="35" t="s">
        <v>114</v>
      </c>
      <c r="K12" s="38">
        <v>3205879007</v>
      </c>
      <c r="L12" s="39" t="s">
        <v>120</v>
      </c>
      <c r="M12" s="35" t="s">
        <v>75</v>
      </c>
      <c r="N12" s="29" t="s">
        <v>76</v>
      </c>
      <c r="O12" s="34" t="s">
        <v>77</v>
      </c>
      <c r="P12" s="34" t="s">
        <v>90</v>
      </c>
      <c r="Q12" s="38" t="s">
        <v>121</v>
      </c>
      <c r="R12" s="40" t="s">
        <v>122</v>
      </c>
      <c r="S12" s="23" t="s">
        <v>64</v>
      </c>
      <c r="T12" s="31"/>
      <c r="U12" s="32" t="s">
        <v>26</v>
      </c>
      <c r="V12" s="33"/>
      <c r="W12" s="33"/>
      <c r="X12" s="33"/>
      <c r="Y12" s="33"/>
      <c r="Z12" s="33"/>
      <c r="AA12" s="33"/>
    </row>
    <row r="13" spans="1:27" s="16" customFormat="1" ht="14.4">
      <c r="A13" s="952"/>
      <c r="B13" s="20" t="s">
        <v>123</v>
      </c>
      <c r="C13" s="21" t="s">
        <v>22</v>
      </c>
      <c r="D13" s="22" t="s">
        <v>53</v>
      </c>
      <c r="E13" s="34" t="s">
        <v>124</v>
      </c>
      <c r="F13" s="34">
        <v>1017269613</v>
      </c>
      <c r="G13" s="35" t="s">
        <v>72</v>
      </c>
      <c r="H13" s="36">
        <v>35582</v>
      </c>
      <c r="I13" s="37">
        <v>28</v>
      </c>
      <c r="J13" s="35" t="s">
        <v>56</v>
      </c>
      <c r="K13" s="38">
        <v>3242810777</v>
      </c>
      <c r="L13" s="39" t="s">
        <v>125</v>
      </c>
      <c r="M13" s="24" t="s">
        <v>58</v>
      </c>
      <c r="N13" s="29" t="s">
        <v>76</v>
      </c>
      <c r="O13" s="34" t="s">
        <v>126</v>
      </c>
      <c r="P13" s="34" t="s">
        <v>90</v>
      </c>
      <c r="Q13" s="38" t="s">
        <v>127</v>
      </c>
      <c r="R13" s="40" t="s">
        <v>128</v>
      </c>
      <c r="S13" s="23" t="s">
        <v>64</v>
      </c>
      <c r="T13" s="31"/>
      <c r="U13" s="32" t="s">
        <v>26</v>
      </c>
      <c r="V13" s="33"/>
      <c r="W13" s="33"/>
      <c r="X13" s="33"/>
      <c r="Y13" s="33"/>
      <c r="Z13" s="33"/>
      <c r="AA13" s="33"/>
    </row>
    <row r="14" spans="1:27" s="16" customFormat="1" ht="14.4">
      <c r="A14" s="952"/>
      <c r="B14" s="20" t="s">
        <v>52</v>
      </c>
      <c r="C14" s="43" t="s">
        <v>129</v>
      </c>
      <c r="D14" s="22" t="s">
        <v>53</v>
      </c>
      <c r="E14" s="44" t="s">
        <v>130</v>
      </c>
      <c r="F14" s="44">
        <v>4938630</v>
      </c>
      <c r="G14" s="35" t="s">
        <v>72</v>
      </c>
      <c r="H14" s="45">
        <v>40621</v>
      </c>
      <c r="I14" s="46">
        <f t="shared" ref="I14:I19" ca="1" si="0">(TODAY()-H14)/365</f>
        <v>15.178082191780822</v>
      </c>
      <c r="J14" s="19"/>
      <c r="K14" s="47">
        <v>3236962242</v>
      </c>
      <c r="L14" s="48" t="s">
        <v>131</v>
      </c>
      <c r="M14" s="24" t="s">
        <v>58</v>
      </c>
      <c r="N14" s="44" t="s">
        <v>132</v>
      </c>
      <c r="O14" s="44" t="s">
        <v>101</v>
      </c>
      <c r="P14" s="34" t="s">
        <v>90</v>
      </c>
      <c r="Q14" s="49" t="s">
        <v>127</v>
      </c>
      <c r="R14" s="50">
        <v>2022</v>
      </c>
      <c r="S14" s="23" t="s">
        <v>64</v>
      </c>
      <c r="T14" s="51"/>
      <c r="U14" s="52" t="s">
        <v>133</v>
      </c>
    </row>
    <row r="15" spans="1:27" s="16" customFormat="1" ht="14.4">
      <c r="A15" s="952"/>
      <c r="B15" s="20" t="s">
        <v>52</v>
      </c>
      <c r="C15" s="43" t="s">
        <v>129</v>
      </c>
      <c r="D15" s="22" t="s">
        <v>53</v>
      </c>
      <c r="E15" s="44" t="s">
        <v>134</v>
      </c>
      <c r="F15" s="44">
        <v>1032025586</v>
      </c>
      <c r="G15" s="35" t="s">
        <v>72</v>
      </c>
      <c r="H15" s="45">
        <v>41585</v>
      </c>
      <c r="I15" s="46">
        <f t="shared" ca="1" si="0"/>
        <v>12.536986301369863</v>
      </c>
      <c r="J15" s="19"/>
      <c r="K15" s="47">
        <v>3244508481</v>
      </c>
      <c r="L15" s="53" t="s">
        <v>135</v>
      </c>
      <c r="M15" s="24" t="s">
        <v>58</v>
      </c>
      <c r="N15" s="44" t="s">
        <v>136</v>
      </c>
      <c r="O15" s="44" t="s">
        <v>101</v>
      </c>
      <c r="P15" s="34" t="s">
        <v>61</v>
      </c>
      <c r="Q15" s="38" t="s">
        <v>79</v>
      </c>
      <c r="R15" s="50">
        <v>2024</v>
      </c>
      <c r="S15" s="23" t="s">
        <v>64</v>
      </c>
      <c r="T15" s="51"/>
      <c r="U15" s="52" t="s">
        <v>133</v>
      </c>
    </row>
    <row r="16" spans="1:27" s="16" customFormat="1" ht="14.4">
      <c r="A16" s="952"/>
      <c r="B16" s="20" t="s">
        <v>52</v>
      </c>
      <c r="C16" s="43" t="s">
        <v>129</v>
      </c>
      <c r="D16" s="22" t="s">
        <v>53</v>
      </c>
      <c r="E16" s="44" t="s">
        <v>137</v>
      </c>
      <c r="F16" s="44">
        <v>1013349911</v>
      </c>
      <c r="G16" s="35" t="s">
        <v>72</v>
      </c>
      <c r="H16" s="45">
        <v>40968</v>
      </c>
      <c r="I16" s="46">
        <f t="shared" ca="1" si="0"/>
        <v>14.227397260273973</v>
      </c>
      <c r="J16" s="14"/>
      <c r="K16" s="54">
        <v>3122332767</v>
      </c>
      <c r="L16" s="55" t="s">
        <v>138</v>
      </c>
      <c r="M16" s="24" t="s">
        <v>58</v>
      </c>
      <c r="N16" s="56" t="s">
        <v>89</v>
      </c>
      <c r="O16" s="44" t="s">
        <v>101</v>
      </c>
      <c r="P16" s="34" t="s">
        <v>61</v>
      </c>
      <c r="Q16" s="38" t="s">
        <v>79</v>
      </c>
      <c r="R16" s="50">
        <v>2022</v>
      </c>
      <c r="S16" s="23" t="s">
        <v>64</v>
      </c>
      <c r="T16" s="51"/>
      <c r="U16" s="52" t="s">
        <v>133</v>
      </c>
    </row>
    <row r="17" spans="1:27" s="16" customFormat="1" ht="14.4">
      <c r="A17" s="952"/>
      <c r="B17" s="35" t="s">
        <v>52</v>
      </c>
      <c r="C17" s="21" t="s">
        <v>129</v>
      </c>
      <c r="D17" s="57" t="s">
        <v>53</v>
      </c>
      <c r="E17" s="38" t="s">
        <v>139</v>
      </c>
      <c r="F17" s="38">
        <v>1000189872</v>
      </c>
      <c r="G17" s="35" t="s">
        <v>72</v>
      </c>
      <c r="H17" s="58">
        <v>36695</v>
      </c>
      <c r="I17" s="59">
        <f t="shared" ca="1" si="0"/>
        <v>25.934246575342467</v>
      </c>
      <c r="J17" s="60"/>
      <c r="K17" s="61">
        <v>3053263861</v>
      </c>
      <c r="L17" s="62" t="s">
        <v>140</v>
      </c>
      <c r="M17" s="24" t="s">
        <v>58</v>
      </c>
      <c r="N17" s="38" t="s">
        <v>141</v>
      </c>
      <c r="O17" s="38" t="s">
        <v>101</v>
      </c>
      <c r="P17" s="34" t="s">
        <v>61</v>
      </c>
      <c r="Q17" s="38" t="s">
        <v>79</v>
      </c>
      <c r="R17" s="30">
        <v>2024</v>
      </c>
      <c r="S17" s="23" t="s">
        <v>64</v>
      </c>
      <c r="T17" s="31"/>
      <c r="U17" s="52" t="s">
        <v>133</v>
      </c>
      <c r="V17" s="33"/>
      <c r="W17" s="33"/>
      <c r="X17" s="33"/>
      <c r="Y17" s="33"/>
      <c r="Z17" s="33"/>
      <c r="AA17" s="33"/>
    </row>
    <row r="18" spans="1:27" s="16" customFormat="1" ht="14.4">
      <c r="A18" s="952"/>
      <c r="B18" s="35" t="s">
        <v>52</v>
      </c>
      <c r="C18" s="21" t="s">
        <v>129</v>
      </c>
      <c r="D18" s="57" t="s">
        <v>53</v>
      </c>
      <c r="E18" s="38" t="s">
        <v>142</v>
      </c>
      <c r="F18" s="38">
        <v>1047964839</v>
      </c>
      <c r="G18" s="35" t="s">
        <v>72</v>
      </c>
      <c r="H18" s="58">
        <v>38371</v>
      </c>
      <c r="I18" s="59">
        <f t="shared" ca="1" si="0"/>
        <v>21.342465753424658</v>
      </c>
      <c r="J18" s="60"/>
      <c r="K18" s="61">
        <v>3207588684</v>
      </c>
      <c r="L18" s="63" t="s">
        <v>143</v>
      </c>
      <c r="M18" s="24" t="s">
        <v>58</v>
      </c>
      <c r="N18" s="38" t="s">
        <v>141</v>
      </c>
      <c r="O18" s="34" t="s">
        <v>77</v>
      </c>
      <c r="P18" s="34" t="s">
        <v>90</v>
      </c>
      <c r="Q18" s="27" t="s">
        <v>127</v>
      </c>
      <c r="R18" s="30">
        <v>2023</v>
      </c>
      <c r="S18" s="23" t="s">
        <v>64</v>
      </c>
      <c r="T18" s="31"/>
      <c r="U18" s="52" t="s">
        <v>133</v>
      </c>
      <c r="V18" s="33"/>
      <c r="W18" s="33"/>
      <c r="X18" s="33"/>
      <c r="Y18" s="33"/>
      <c r="Z18" s="33"/>
      <c r="AA18" s="33"/>
    </row>
    <row r="19" spans="1:27" s="16" customFormat="1" ht="14.4">
      <c r="A19" s="952"/>
      <c r="B19" s="35" t="s">
        <v>52</v>
      </c>
      <c r="C19" s="21" t="s">
        <v>129</v>
      </c>
      <c r="D19" s="57" t="s">
        <v>53</v>
      </c>
      <c r="E19" s="38" t="s">
        <v>144</v>
      </c>
      <c r="F19" s="38">
        <v>70104987</v>
      </c>
      <c r="G19" s="35" t="s">
        <v>55</v>
      </c>
      <c r="H19" s="58">
        <v>21121</v>
      </c>
      <c r="I19" s="59">
        <f t="shared" ca="1" si="0"/>
        <v>68.602739726027394</v>
      </c>
      <c r="J19" s="64"/>
      <c r="K19" s="61">
        <v>3242615763</v>
      </c>
      <c r="L19" s="65" t="s">
        <v>145</v>
      </c>
      <c r="M19" s="24" t="s">
        <v>58</v>
      </c>
      <c r="N19" s="38" t="s">
        <v>89</v>
      </c>
      <c r="O19" s="38" t="s">
        <v>146</v>
      </c>
      <c r="P19" s="34" t="s">
        <v>90</v>
      </c>
      <c r="Q19" s="27" t="s">
        <v>147</v>
      </c>
      <c r="R19" s="30">
        <v>2013</v>
      </c>
      <c r="S19" s="23" t="s">
        <v>64</v>
      </c>
      <c r="T19" s="31"/>
      <c r="U19" s="52" t="s">
        <v>133</v>
      </c>
      <c r="V19" s="33"/>
      <c r="W19" s="33"/>
      <c r="X19" s="33"/>
      <c r="Y19" s="33"/>
      <c r="Z19" s="33"/>
      <c r="AA19" s="33"/>
    </row>
    <row r="20" spans="1:27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/>
    <row r="22" spans="1:27" ht="15.75" customHeight="1"/>
    <row r="23" spans="1:27" ht="15.75" customHeight="1"/>
    <row r="24" spans="1:27" ht="15.75" customHeight="1"/>
    <row r="25" spans="1:27" ht="15.75" customHeight="1"/>
    <row r="26" spans="1:27" ht="15.75" customHeight="1"/>
    <row r="27" spans="1:27" ht="15.75" customHeight="1"/>
    <row r="28" spans="1:27" ht="15.75" customHeight="1"/>
    <row r="29" spans="1:27" ht="15.75" customHeight="1"/>
    <row r="30" spans="1:27" ht="15.75" customHeight="1"/>
    <row r="31" spans="1:27" ht="15.75" customHeight="1"/>
    <row r="32" spans="1: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2:A19"/>
  </mergeCells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6" r:id="rId14" xr:uid="{00000000-0004-0000-0200-00000D000000}"/>
    <hyperlink ref="L17" r:id="rId15" xr:uid="{00000000-0004-0000-0200-00000E000000}"/>
    <hyperlink ref="L19" r:id="rId16" xr:uid="{00000000-0004-0000-0200-00000F000000}"/>
  </hyperlinks>
  <pageMargins left="0.7" right="0.7" top="0.75" bottom="0.75" header="0" footer="0"/>
  <pageSetup orientation="landscape"/>
  <legacyDrawing r:id="rId17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78"/>
  <sheetViews>
    <sheetView workbookViewId="0">
      <pane ySplit="1" topLeftCell="A75" activePane="bottomLeft" state="frozen"/>
      <selection pane="bottomLeft" activeCell="A82" sqref="A82:XFD93"/>
    </sheetView>
  </sheetViews>
  <sheetFormatPr baseColWidth="10" defaultColWidth="14.44140625" defaultRowHeight="15" customHeight="1"/>
  <cols>
    <col min="4" max="4" width="25.5546875" customWidth="1"/>
    <col min="5" max="5" width="33.6640625" customWidth="1"/>
    <col min="6" max="6" width="16.6640625" customWidth="1"/>
    <col min="7" max="7" width="14.6640625" customWidth="1"/>
    <col min="8" max="8" width="14.33203125" customWidth="1"/>
    <col min="9" max="10" width="10.6640625" customWidth="1"/>
    <col min="11" max="11" width="14" customWidth="1"/>
    <col min="12" max="12" width="37.33203125" customWidth="1"/>
    <col min="13" max="13" width="21.6640625" customWidth="1"/>
    <col min="14" max="14" width="20.109375" customWidth="1"/>
    <col min="15" max="15" width="22.44140625" customWidth="1"/>
    <col min="16" max="16" width="13.88671875" customWidth="1"/>
    <col min="17" max="17" width="18.44140625" customWidth="1"/>
    <col min="18" max="18" width="20.6640625" customWidth="1"/>
    <col min="19" max="19" width="19.5546875" customWidth="1"/>
    <col min="20" max="21" width="13.44140625" customWidth="1"/>
    <col min="22" max="22" width="45.44140625" customWidth="1"/>
  </cols>
  <sheetData>
    <row r="1" spans="1:28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148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149</v>
      </c>
      <c r="T1" s="2" t="s">
        <v>19</v>
      </c>
      <c r="U1" s="1" t="s">
        <v>20</v>
      </c>
      <c r="V1" s="7"/>
      <c r="W1" s="8"/>
      <c r="X1" s="8"/>
      <c r="Y1" s="8"/>
      <c r="Z1" s="8"/>
      <c r="AA1" s="8"/>
      <c r="AB1" s="8"/>
    </row>
    <row r="2" spans="1:28" s="16" customFormat="1" ht="15.75" customHeight="1">
      <c r="B2" s="20" t="s">
        <v>150</v>
      </c>
      <c r="C2" s="43" t="s">
        <v>151</v>
      </c>
      <c r="D2" s="22" t="s">
        <v>152</v>
      </c>
      <c r="E2" s="44" t="s">
        <v>153</v>
      </c>
      <c r="F2" s="44">
        <v>71685836</v>
      </c>
      <c r="G2" s="44" t="s">
        <v>28</v>
      </c>
      <c r="H2" s="66">
        <v>24622</v>
      </c>
      <c r="I2" s="67">
        <f t="shared" ref="I2:I34" ca="1" si="0">(TODAY()-H2)/365</f>
        <v>59.010958904109586</v>
      </c>
      <c r="J2" s="20"/>
      <c r="K2" s="44">
        <v>3004990419</v>
      </c>
      <c r="L2" s="68" t="s">
        <v>154</v>
      </c>
      <c r="M2" s="44" t="s">
        <v>155</v>
      </c>
      <c r="N2" s="44" t="s">
        <v>156</v>
      </c>
      <c r="O2" s="44" t="s">
        <v>157</v>
      </c>
      <c r="P2" s="44" t="s">
        <v>158</v>
      </c>
      <c r="Q2" s="44" t="s">
        <v>159</v>
      </c>
      <c r="R2" s="69">
        <v>2024</v>
      </c>
      <c r="S2" s="47" t="s">
        <v>160</v>
      </c>
      <c r="T2" s="51"/>
      <c r="U2" s="15"/>
      <c r="V2" s="15"/>
      <c r="W2" s="70"/>
      <c r="X2" s="70"/>
      <c r="Y2" s="70"/>
      <c r="Z2" s="70"/>
      <c r="AA2" s="70"/>
      <c r="AB2" s="70"/>
    </row>
    <row r="3" spans="1:28" s="16" customFormat="1" ht="15.75" customHeight="1">
      <c r="A3" s="13"/>
      <c r="B3" s="18" t="s">
        <v>150</v>
      </c>
      <c r="C3" s="14" t="s">
        <v>151</v>
      </c>
      <c r="D3" s="71" t="s">
        <v>152</v>
      </c>
      <c r="E3" s="44" t="s">
        <v>161</v>
      </c>
      <c r="F3" s="44">
        <v>43497474</v>
      </c>
      <c r="G3" s="44" t="s">
        <v>25</v>
      </c>
      <c r="H3" s="66">
        <v>24145</v>
      </c>
      <c r="I3" s="67">
        <f t="shared" ca="1" si="0"/>
        <v>60.317808219178083</v>
      </c>
      <c r="J3" s="18"/>
      <c r="K3" s="44">
        <v>3207367036</v>
      </c>
      <c r="L3" s="44" t="s">
        <v>162</v>
      </c>
      <c r="M3" s="44" t="s">
        <v>155</v>
      </c>
      <c r="N3" s="44" t="s">
        <v>163</v>
      </c>
      <c r="O3" s="44" t="s">
        <v>164</v>
      </c>
      <c r="P3" s="44" t="s">
        <v>165</v>
      </c>
      <c r="Q3" s="49" t="s">
        <v>159</v>
      </c>
      <c r="R3" s="50">
        <v>2024</v>
      </c>
      <c r="S3" s="47" t="s">
        <v>166</v>
      </c>
      <c r="T3" s="51"/>
      <c r="U3" s="15"/>
      <c r="V3" s="15"/>
      <c r="W3" s="70"/>
      <c r="X3" s="70"/>
      <c r="Y3" s="70"/>
      <c r="Z3" s="70"/>
      <c r="AA3" s="70"/>
      <c r="AB3" s="70"/>
    </row>
    <row r="4" spans="1:28" s="16" customFormat="1" ht="15.75" customHeight="1">
      <c r="A4" s="13"/>
      <c r="B4" s="18" t="s">
        <v>150</v>
      </c>
      <c r="C4" s="14" t="s">
        <v>151</v>
      </c>
      <c r="D4" s="71" t="s">
        <v>152</v>
      </c>
      <c r="E4" s="44" t="s">
        <v>167</v>
      </c>
      <c r="F4" s="44">
        <v>43203029</v>
      </c>
      <c r="G4" s="44" t="s">
        <v>25</v>
      </c>
      <c r="H4" s="66">
        <v>29266</v>
      </c>
      <c r="I4" s="67">
        <f t="shared" ca="1" si="0"/>
        <v>46.287671232876711</v>
      </c>
      <c r="J4" s="18"/>
      <c r="K4" s="44">
        <v>3024387124</v>
      </c>
      <c r="L4" s="44" t="s">
        <v>168</v>
      </c>
      <c r="M4" s="44" t="s">
        <v>155</v>
      </c>
      <c r="N4" s="44" t="s">
        <v>141</v>
      </c>
      <c r="O4" s="44" t="s">
        <v>169</v>
      </c>
      <c r="P4" s="44" t="s">
        <v>158</v>
      </c>
      <c r="Q4" s="44" t="s">
        <v>170</v>
      </c>
      <c r="R4" s="50">
        <v>2024</v>
      </c>
      <c r="S4" s="47" t="s">
        <v>160</v>
      </c>
      <c r="T4" s="51"/>
      <c r="U4" s="15"/>
      <c r="V4" s="15"/>
      <c r="W4" s="70"/>
      <c r="X4" s="70"/>
      <c r="Y4" s="70"/>
      <c r="Z4" s="70"/>
      <c r="AA4" s="70"/>
      <c r="AB4" s="70"/>
    </row>
    <row r="5" spans="1:28" s="16" customFormat="1" ht="15.75" customHeight="1">
      <c r="A5" s="13"/>
      <c r="B5" s="18" t="s">
        <v>150</v>
      </c>
      <c r="C5" s="14" t="s">
        <v>151</v>
      </c>
      <c r="D5" s="71" t="s">
        <v>152</v>
      </c>
      <c r="E5" s="44" t="s">
        <v>171</v>
      </c>
      <c r="F5" s="44">
        <v>435744012</v>
      </c>
      <c r="G5" s="44" t="s">
        <v>25</v>
      </c>
      <c r="H5" s="66">
        <v>26685</v>
      </c>
      <c r="I5" s="67">
        <f t="shared" ca="1" si="0"/>
        <v>53.358904109589041</v>
      </c>
      <c r="J5" s="18"/>
      <c r="K5" s="44">
        <v>3014530657</v>
      </c>
      <c r="L5" s="44" t="s">
        <v>172</v>
      </c>
      <c r="M5" s="44" t="s">
        <v>155</v>
      </c>
      <c r="N5" s="44" t="s">
        <v>136</v>
      </c>
      <c r="O5" s="44" t="s">
        <v>173</v>
      </c>
      <c r="P5" s="44" t="s">
        <v>165</v>
      </c>
      <c r="Q5" s="44" t="s">
        <v>174</v>
      </c>
      <c r="R5" s="50">
        <v>2024</v>
      </c>
      <c r="S5" s="47" t="s">
        <v>160</v>
      </c>
      <c r="T5" s="51"/>
      <c r="U5" s="15"/>
      <c r="V5" s="15"/>
      <c r="W5" s="70"/>
      <c r="X5" s="70"/>
      <c r="Y5" s="70"/>
      <c r="Z5" s="70"/>
      <c r="AA5" s="70"/>
      <c r="AB5" s="70"/>
    </row>
    <row r="6" spans="1:28" s="16" customFormat="1" ht="15.75" customHeight="1">
      <c r="A6" s="13"/>
      <c r="B6" s="18" t="s">
        <v>150</v>
      </c>
      <c r="C6" s="14" t="s">
        <v>151</v>
      </c>
      <c r="D6" s="71" t="s">
        <v>152</v>
      </c>
      <c r="E6" s="44" t="s">
        <v>175</v>
      </c>
      <c r="F6" s="44">
        <v>15442055</v>
      </c>
      <c r="G6" s="44" t="s">
        <v>28</v>
      </c>
      <c r="H6" s="66">
        <v>34182</v>
      </c>
      <c r="I6" s="67">
        <f t="shared" ca="1" si="0"/>
        <v>32.819178082191783</v>
      </c>
      <c r="J6" s="18"/>
      <c r="K6" s="44">
        <v>3226812101</v>
      </c>
      <c r="L6" s="44" t="s">
        <v>176</v>
      </c>
      <c r="M6" s="44" t="s">
        <v>155</v>
      </c>
      <c r="N6" s="44" t="s">
        <v>141</v>
      </c>
      <c r="O6" s="44" t="s">
        <v>177</v>
      </c>
      <c r="P6" s="44" t="s">
        <v>158</v>
      </c>
      <c r="Q6" s="49" t="s">
        <v>159</v>
      </c>
      <c r="R6" s="50">
        <v>2024</v>
      </c>
      <c r="S6" s="47" t="s">
        <v>160</v>
      </c>
      <c r="T6" s="51"/>
      <c r="U6" s="15"/>
      <c r="V6" s="15"/>
      <c r="W6" s="70"/>
      <c r="X6" s="70"/>
      <c r="Y6" s="70"/>
      <c r="Z6" s="70"/>
      <c r="AA6" s="70"/>
      <c r="AB6" s="70"/>
    </row>
    <row r="7" spans="1:28" s="16" customFormat="1" ht="15.75" customHeight="1">
      <c r="A7" s="13"/>
      <c r="B7" s="18" t="s">
        <v>150</v>
      </c>
      <c r="C7" s="14" t="s">
        <v>151</v>
      </c>
      <c r="D7" s="71" t="s">
        <v>152</v>
      </c>
      <c r="E7" s="44" t="s">
        <v>178</v>
      </c>
      <c r="F7" s="44">
        <v>43036338</v>
      </c>
      <c r="G7" s="44" t="s">
        <v>25</v>
      </c>
      <c r="H7" s="72">
        <v>22643</v>
      </c>
      <c r="I7" s="67">
        <f t="shared" ca="1" si="0"/>
        <v>64.432876712328763</v>
      </c>
      <c r="J7" s="18"/>
      <c r="K7" s="56">
        <v>3024757546</v>
      </c>
      <c r="L7" s="44" t="s">
        <v>179</v>
      </c>
      <c r="M7" s="56" t="s">
        <v>155</v>
      </c>
      <c r="N7" s="56" t="s">
        <v>136</v>
      </c>
      <c r="O7" s="56" t="s">
        <v>180</v>
      </c>
      <c r="P7" s="44" t="s">
        <v>165</v>
      </c>
      <c r="Q7" s="49" t="s">
        <v>159</v>
      </c>
      <c r="R7" s="50">
        <v>2024</v>
      </c>
      <c r="S7" s="54" t="s">
        <v>160</v>
      </c>
      <c r="T7" s="51"/>
      <c r="U7" s="15"/>
      <c r="V7" s="15"/>
      <c r="W7" s="70"/>
      <c r="X7" s="70"/>
      <c r="Y7" s="70"/>
      <c r="Z7" s="70"/>
      <c r="AA7" s="70"/>
      <c r="AB7" s="70"/>
    </row>
    <row r="8" spans="1:28" s="16" customFormat="1" ht="15.75" customHeight="1">
      <c r="A8" s="73" t="s">
        <v>181</v>
      </c>
      <c r="B8" s="74" t="s">
        <v>150</v>
      </c>
      <c r="C8" s="75" t="s">
        <v>151</v>
      </c>
      <c r="D8" s="75" t="s">
        <v>182</v>
      </c>
      <c r="E8" s="76" t="s">
        <v>183</v>
      </c>
      <c r="F8" s="76">
        <v>1000192667</v>
      </c>
      <c r="G8" s="76" t="s">
        <v>28</v>
      </c>
      <c r="H8" s="77">
        <v>35400</v>
      </c>
      <c r="I8" s="78">
        <f t="shared" ca="1" si="0"/>
        <v>29.482191780821918</v>
      </c>
      <c r="J8" s="74"/>
      <c r="K8" s="76">
        <v>3208429155</v>
      </c>
      <c r="L8" s="76" t="s">
        <v>184</v>
      </c>
      <c r="M8" s="79" t="s">
        <v>185</v>
      </c>
      <c r="N8" s="76" t="s">
        <v>186</v>
      </c>
      <c r="O8" s="76" t="s">
        <v>187</v>
      </c>
      <c r="P8" s="76" t="s">
        <v>158</v>
      </c>
      <c r="Q8" s="80" t="s">
        <v>159</v>
      </c>
      <c r="R8" s="81">
        <v>2024</v>
      </c>
      <c r="S8" s="82" t="s">
        <v>166</v>
      </c>
      <c r="T8" s="83"/>
      <c r="U8" s="84" t="s">
        <v>188</v>
      </c>
      <c r="V8" s="84"/>
      <c r="W8" s="85"/>
      <c r="X8" s="85"/>
      <c r="Y8" s="85"/>
      <c r="Z8" s="85"/>
      <c r="AA8" s="85"/>
      <c r="AB8" s="85"/>
    </row>
    <row r="9" spans="1:28" s="16" customFormat="1" ht="15.75" customHeight="1">
      <c r="A9" s="73"/>
      <c r="B9" s="74" t="s">
        <v>150</v>
      </c>
      <c r="C9" s="75" t="s">
        <v>151</v>
      </c>
      <c r="D9" s="75" t="s">
        <v>182</v>
      </c>
      <c r="E9" s="76" t="s">
        <v>189</v>
      </c>
      <c r="F9" s="76">
        <v>1032011816</v>
      </c>
      <c r="G9" s="76" t="s">
        <v>28</v>
      </c>
      <c r="H9" s="77" t="s">
        <v>190</v>
      </c>
      <c r="I9" s="78" t="e">
        <f t="shared" ca="1" si="0"/>
        <v>#VALUE!</v>
      </c>
      <c r="J9" s="74"/>
      <c r="K9" s="76">
        <v>3167954340</v>
      </c>
      <c r="L9" s="76" t="s">
        <v>191</v>
      </c>
      <c r="M9" s="79" t="s">
        <v>185</v>
      </c>
      <c r="N9" s="76" t="s">
        <v>156</v>
      </c>
      <c r="O9" s="76" t="s">
        <v>192</v>
      </c>
      <c r="P9" s="76" t="s">
        <v>165</v>
      </c>
      <c r="Q9" s="76" t="s">
        <v>193</v>
      </c>
      <c r="R9" s="81">
        <v>2024</v>
      </c>
      <c r="S9" s="82" t="s">
        <v>160</v>
      </c>
      <c r="T9" s="83"/>
      <c r="U9" s="84" t="s">
        <v>188</v>
      </c>
      <c r="V9" s="84"/>
      <c r="W9" s="85"/>
      <c r="X9" s="85"/>
      <c r="Y9" s="85"/>
      <c r="Z9" s="85"/>
      <c r="AA9" s="85"/>
      <c r="AB9" s="85"/>
    </row>
    <row r="10" spans="1:28" s="16" customFormat="1" ht="15.75" customHeight="1">
      <c r="A10" s="73"/>
      <c r="B10" s="74" t="s">
        <v>150</v>
      </c>
      <c r="C10" s="75" t="s">
        <v>151</v>
      </c>
      <c r="D10" s="75" t="s">
        <v>182</v>
      </c>
      <c r="E10" s="76" t="s">
        <v>194</v>
      </c>
      <c r="F10" s="76">
        <v>21401595</v>
      </c>
      <c r="G10" s="76" t="s">
        <v>25</v>
      </c>
      <c r="H10" s="77" t="s">
        <v>195</v>
      </c>
      <c r="I10" s="78" t="e">
        <f t="shared" ca="1" si="0"/>
        <v>#VALUE!</v>
      </c>
      <c r="J10" s="74"/>
      <c r="K10" s="76">
        <v>3006282473</v>
      </c>
      <c r="L10" s="76" t="s">
        <v>196</v>
      </c>
      <c r="M10" s="79" t="s">
        <v>185</v>
      </c>
      <c r="N10" s="76" t="s">
        <v>136</v>
      </c>
      <c r="O10" s="76" t="s">
        <v>180</v>
      </c>
      <c r="P10" s="76" t="s">
        <v>158</v>
      </c>
      <c r="Q10" s="76" t="s">
        <v>197</v>
      </c>
      <c r="R10" s="81">
        <v>2024</v>
      </c>
      <c r="S10" s="82" t="s">
        <v>160</v>
      </c>
      <c r="T10" s="83"/>
      <c r="U10" s="84" t="s">
        <v>188</v>
      </c>
      <c r="V10" s="84"/>
      <c r="W10" s="85"/>
      <c r="X10" s="85"/>
      <c r="Y10" s="85"/>
      <c r="Z10" s="85"/>
      <c r="AA10" s="85"/>
      <c r="AB10" s="85"/>
    </row>
    <row r="11" spans="1:28" s="16" customFormat="1" ht="15.75" customHeight="1">
      <c r="A11" s="73"/>
      <c r="B11" s="74" t="s">
        <v>150</v>
      </c>
      <c r="C11" s="75" t="s">
        <v>151</v>
      </c>
      <c r="D11" s="75" t="s">
        <v>182</v>
      </c>
      <c r="E11" s="76" t="s">
        <v>198</v>
      </c>
      <c r="F11" s="76">
        <v>43115563</v>
      </c>
      <c r="G11" s="76" t="s">
        <v>25</v>
      </c>
      <c r="H11" s="77">
        <v>28946</v>
      </c>
      <c r="I11" s="78">
        <f t="shared" ca="1" si="0"/>
        <v>47.164383561643838</v>
      </c>
      <c r="J11" s="74"/>
      <c r="K11" s="76">
        <v>3122218691</v>
      </c>
      <c r="L11" s="76" t="s">
        <v>196</v>
      </c>
      <c r="M11" s="79" t="s">
        <v>185</v>
      </c>
      <c r="N11" s="76" t="s">
        <v>141</v>
      </c>
      <c r="O11" s="76" t="s">
        <v>180</v>
      </c>
      <c r="P11" s="76" t="s">
        <v>158</v>
      </c>
      <c r="Q11" s="80" t="s">
        <v>159</v>
      </c>
      <c r="R11" s="81">
        <v>2024</v>
      </c>
      <c r="S11" s="82" t="s">
        <v>160</v>
      </c>
      <c r="T11" s="83"/>
      <c r="U11" s="84" t="s">
        <v>188</v>
      </c>
      <c r="V11" s="84"/>
      <c r="W11" s="85"/>
      <c r="X11" s="85"/>
      <c r="Y11" s="85"/>
      <c r="Z11" s="85"/>
      <c r="AA11" s="85"/>
      <c r="AB11" s="85"/>
    </row>
    <row r="12" spans="1:28" s="16" customFormat="1" ht="15.75" customHeight="1">
      <c r="A12" s="73"/>
      <c r="B12" s="74" t="s">
        <v>150</v>
      </c>
      <c r="C12" s="75" t="s">
        <v>151</v>
      </c>
      <c r="D12" s="75" t="s">
        <v>182</v>
      </c>
      <c r="E12" s="76" t="s">
        <v>199</v>
      </c>
      <c r="F12" s="76">
        <v>8101225</v>
      </c>
      <c r="G12" s="76" t="s">
        <v>28</v>
      </c>
      <c r="H12" s="77">
        <v>30662</v>
      </c>
      <c r="I12" s="78">
        <f t="shared" ca="1" si="0"/>
        <v>42.463013698630135</v>
      </c>
      <c r="J12" s="74"/>
      <c r="K12" s="76">
        <v>3006147974</v>
      </c>
      <c r="L12" s="76" t="s">
        <v>200</v>
      </c>
      <c r="M12" s="79" t="s">
        <v>185</v>
      </c>
      <c r="N12" s="76" t="s">
        <v>156</v>
      </c>
      <c r="O12" s="76" t="s">
        <v>201</v>
      </c>
      <c r="P12" s="76" t="s">
        <v>165</v>
      </c>
      <c r="Q12" s="80" t="s">
        <v>159</v>
      </c>
      <c r="R12" s="81">
        <v>2024</v>
      </c>
      <c r="S12" s="82" t="s">
        <v>160</v>
      </c>
      <c r="T12" s="83"/>
      <c r="U12" s="84" t="s">
        <v>188</v>
      </c>
      <c r="V12" s="84"/>
      <c r="W12" s="85"/>
      <c r="X12" s="85"/>
      <c r="Y12" s="85"/>
      <c r="Z12" s="85"/>
      <c r="AA12" s="85"/>
      <c r="AB12" s="85"/>
    </row>
    <row r="13" spans="1:28" s="16" customFormat="1" ht="15.75" customHeight="1">
      <c r="A13" s="73"/>
      <c r="B13" s="74" t="s">
        <v>150</v>
      </c>
      <c r="C13" s="75" t="s">
        <v>151</v>
      </c>
      <c r="D13" s="75" t="s">
        <v>182</v>
      </c>
      <c r="E13" s="76" t="s">
        <v>202</v>
      </c>
      <c r="F13" s="76">
        <v>43589761</v>
      </c>
      <c r="G13" s="76" t="s">
        <v>25</v>
      </c>
      <c r="H13" s="77">
        <v>27326</v>
      </c>
      <c r="I13" s="78">
        <f t="shared" ca="1" si="0"/>
        <v>51.602739726027394</v>
      </c>
      <c r="J13" s="74"/>
      <c r="K13" s="76">
        <v>3108978512</v>
      </c>
      <c r="L13" s="76" t="s">
        <v>203</v>
      </c>
      <c r="M13" s="79" t="s">
        <v>185</v>
      </c>
      <c r="N13" s="76" t="s">
        <v>141</v>
      </c>
      <c r="O13" s="76" t="s">
        <v>204</v>
      </c>
      <c r="P13" s="76" t="s">
        <v>158</v>
      </c>
      <c r="Q13" s="80" t="s">
        <v>159</v>
      </c>
      <c r="R13" s="81">
        <v>2024</v>
      </c>
      <c r="S13" s="82" t="s">
        <v>160</v>
      </c>
      <c r="T13" s="83"/>
      <c r="U13" s="84" t="s">
        <v>188</v>
      </c>
      <c r="V13" s="84"/>
      <c r="W13" s="85"/>
      <c r="X13" s="85"/>
      <c r="Y13" s="85"/>
      <c r="Z13" s="85"/>
      <c r="AA13" s="85"/>
      <c r="AB13" s="85"/>
    </row>
    <row r="14" spans="1:28" s="16" customFormat="1" ht="15.75" customHeight="1">
      <c r="A14" s="86" t="s">
        <v>181</v>
      </c>
      <c r="B14" s="87" t="s">
        <v>150</v>
      </c>
      <c r="C14" s="88" t="s">
        <v>151</v>
      </c>
      <c r="D14" s="88" t="s">
        <v>205</v>
      </c>
      <c r="E14" s="89" t="s">
        <v>206</v>
      </c>
      <c r="F14" s="89">
        <v>94262105</v>
      </c>
      <c r="G14" s="89" t="s">
        <v>28</v>
      </c>
      <c r="H14" s="90">
        <v>24750</v>
      </c>
      <c r="I14" s="91">
        <f t="shared" ca="1" si="0"/>
        <v>58.660273972602738</v>
      </c>
      <c r="J14" s="87" t="s">
        <v>56</v>
      </c>
      <c r="K14" s="89">
        <v>3012498358</v>
      </c>
      <c r="L14" s="92" t="s">
        <v>207</v>
      </c>
      <c r="M14" s="89" t="s">
        <v>208</v>
      </c>
      <c r="N14" s="93" t="s">
        <v>209</v>
      </c>
      <c r="O14" s="89" t="s">
        <v>164</v>
      </c>
      <c r="P14" s="93" t="s">
        <v>165</v>
      </c>
      <c r="Q14" s="93" t="s">
        <v>193</v>
      </c>
      <c r="R14" s="94">
        <v>2024</v>
      </c>
      <c r="S14" s="95" t="s">
        <v>160</v>
      </c>
      <c r="T14" s="96"/>
      <c r="U14" s="97" t="s">
        <v>210</v>
      </c>
      <c r="V14" s="97"/>
      <c r="W14" s="98"/>
      <c r="X14" s="98"/>
      <c r="Y14" s="98"/>
      <c r="Z14" s="98"/>
      <c r="AA14" s="98"/>
      <c r="AB14" s="98"/>
    </row>
    <row r="15" spans="1:28" s="16" customFormat="1" ht="15.75" customHeight="1">
      <c r="A15" s="86"/>
      <c r="B15" s="87" t="s">
        <v>150</v>
      </c>
      <c r="C15" s="88" t="s">
        <v>151</v>
      </c>
      <c r="D15" s="88" t="s">
        <v>205</v>
      </c>
      <c r="E15" s="89" t="s">
        <v>211</v>
      </c>
      <c r="F15" s="89">
        <v>43514436</v>
      </c>
      <c r="G15" s="89" t="s">
        <v>25</v>
      </c>
      <c r="H15" s="90">
        <v>23634</v>
      </c>
      <c r="I15" s="91">
        <f t="shared" ca="1" si="0"/>
        <v>61.717808219178082</v>
      </c>
      <c r="J15" s="87" t="s">
        <v>212</v>
      </c>
      <c r="K15" s="89">
        <v>3006053654</v>
      </c>
      <c r="L15" s="92" t="s">
        <v>213</v>
      </c>
      <c r="M15" s="89" t="s">
        <v>208</v>
      </c>
      <c r="N15" s="93" t="s">
        <v>214</v>
      </c>
      <c r="O15" s="89" t="s">
        <v>180</v>
      </c>
      <c r="P15" s="93" t="s">
        <v>165</v>
      </c>
      <c r="Q15" s="99" t="s">
        <v>159</v>
      </c>
      <c r="R15" s="94">
        <v>2024</v>
      </c>
      <c r="S15" s="95" t="s">
        <v>160</v>
      </c>
      <c r="T15" s="96"/>
      <c r="U15" s="97"/>
      <c r="V15" s="97"/>
      <c r="W15" s="98"/>
      <c r="X15" s="98"/>
      <c r="Y15" s="98"/>
      <c r="Z15" s="98"/>
      <c r="AA15" s="98"/>
      <c r="AB15" s="98"/>
    </row>
    <row r="16" spans="1:28" s="16" customFormat="1" ht="15.75" customHeight="1">
      <c r="A16" s="86"/>
      <c r="B16" s="18" t="s">
        <v>150</v>
      </c>
      <c r="C16" s="14" t="s">
        <v>151</v>
      </c>
      <c r="D16" s="14" t="s">
        <v>205</v>
      </c>
      <c r="E16" s="17" t="s">
        <v>215</v>
      </c>
      <c r="F16" s="17">
        <v>4904756</v>
      </c>
      <c r="G16" s="17" t="s">
        <v>25</v>
      </c>
      <c r="H16" s="66">
        <v>22245</v>
      </c>
      <c r="I16" s="67">
        <f t="shared" ca="1" si="0"/>
        <v>65.523287671232879</v>
      </c>
      <c r="J16" s="18"/>
      <c r="K16" s="17">
        <v>3027120635</v>
      </c>
      <c r="L16" s="100"/>
      <c r="M16" s="17" t="s">
        <v>208</v>
      </c>
      <c r="N16" s="44" t="s">
        <v>141</v>
      </c>
      <c r="O16" s="17" t="s">
        <v>180</v>
      </c>
      <c r="P16" s="44" t="s">
        <v>158</v>
      </c>
      <c r="Q16" s="49" t="s">
        <v>159</v>
      </c>
      <c r="R16" s="50">
        <v>2024</v>
      </c>
      <c r="S16" s="101" t="s">
        <v>160</v>
      </c>
      <c r="T16" s="51"/>
      <c r="U16" s="15"/>
      <c r="V16" s="15"/>
      <c r="W16" s="70"/>
      <c r="X16" s="70"/>
      <c r="Y16" s="70"/>
      <c r="Z16" s="70"/>
      <c r="AA16" s="70"/>
      <c r="AB16" s="70"/>
    </row>
    <row r="17" spans="1:28" s="16" customFormat="1" ht="15.75" customHeight="1">
      <c r="A17" s="86"/>
      <c r="B17" s="18" t="s">
        <v>150</v>
      </c>
      <c r="C17" s="14" t="s">
        <v>151</v>
      </c>
      <c r="D17" s="14" t="s">
        <v>205</v>
      </c>
      <c r="E17" s="17" t="s">
        <v>216</v>
      </c>
      <c r="F17" s="17">
        <v>43755518</v>
      </c>
      <c r="G17" s="17" t="s">
        <v>25</v>
      </c>
      <c r="H17" s="66">
        <v>25951</v>
      </c>
      <c r="I17" s="67">
        <f t="shared" ca="1" si="0"/>
        <v>55.369863013698627</v>
      </c>
      <c r="J17" s="18"/>
      <c r="K17" s="17">
        <v>3014768746</v>
      </c>
      <c r="L17" s="102" t="s">
        <v>217</v>
      </c>
      <c r="M17" s="17" t="s">
        <v>208</v>
      </c>
      <c r="N17" s="44" t="s">
        <v>141</v>
      </c>
      <c r="O17" s="17" t="s">
        <v>180</v>
      </c>
      <c r="P17" s="44" t="s">
        <v>165</v>
      </c>
      <c r="Q17" s="17" t="s">
        <v>218</v>
      </c>
      <c r="R17" s="50">
        <v>2024</v>
      </c>
      <c r="S17" s="101" t="s">
        <v>160</v>
      </c>
      <c r="T17" s="51"/>
      <c r="U17" s="15"/>
      <c r="V17" s="15"/>
      <c r="W17" s="70"/>
      <c r="X17" s="70"/>
      <c r="Y17" s="70"/>
      <c r="Z17" s="70"/>
      <c r="AA17" s="70"/>
      <c r="AB17" s="70"/>
    </row>
    <row r="18" spans="1:28" s="16" customFormat="1" ht="15.75" customHeight="1">
      <c r="A18" s="86"/>
      <c r="B18" s="87" t="s">
        <v>150</v>
      </c>
      <c r="C18" s="88" t="s">
        <v>151</v>
      </c>
      <c r="D18" s="88" t="s">
        <v>205</v>
      </c>
      <c r="E18" s="89" t="s">
        <v>219</v>
      </c>
      <c r="F18" s="89">
        <v>1146438947</v>
      </c>
      <c r="G18" s="89" t="s">
        <v>25</v>
      </c>
      <c r="H18" s="90">
        <v>34737</v>
      </c>
      <c r="I18" s="91">
        <f t="shared" ca="1" si="0"/>
        <v>31.298630136986301</v>
      </c>
      <c r="J18" s="87" t="s">
        <v>73</v>
      </c>
      <c r="K18" s="89">
        <v>3012796272</v>
      </c>
      <c r="L18" s="103" t="s">
        <v>220</v>
      </c>
      <c r="M18" s="89" t="s">
        <v>208</v>
      </c>
      <c r="N18" s="93" t="s">
        <v>141</v>
      </c>
      <c r="O18" s="89" t="s">
        <v>221</v>
      </c>
      <c r="P18" s="93" t="s">
        <v>165</v>
      </c>
      <c r="Q18" s="89" t="s">
        <v>218</v>
      </c>
      <c r="R18" s="94">
        <v>2024</v>
      </c>
      <c r="S18" s="95" t="s">
        <v>160</v>
      </c>
      <c r="T18" s="96"/>
      <c r="U18" s="97" t="s">
        <v>210</v>
      </c>
      <c r="V18" s="97"/>
      <c r="W18" s="98"/>
      <c r="X18" s="98"/>
      <c r="Y18" s="98"/>
      <c r="Z18" s="98"/>
      <c r="AA18" s="98"/>
      <c r="AB18" s="98"/>
    </row>
    <row r="19" spans="1:28" s="16" customFormat="1" ht="15.75" customHeight="1">
      <c r="A19" s="86"/>
      <c r="B19" s="18" t="s">
        <v>150</v>
      </c>
      <c r="C19" s="14" t="s">
        <v>151</v>
      </c>
      <c r="D19" s="14" t="s">
        <v>205</v>
      </c>
      <c r="E19" s="17" t="s">
        <v>222</v>
      </c>
      <c r="F19" s="17">
        <v>43033004</v>
      </c>
      <c r="G19" s="17" t="s">
        <v>25</v>
      </c>
      <c r="H19" s="66">
        <v>22766</v>
      </c>
      <c r="I19" s="67">
        <f t="shared" ca="1" si="0"/>
        <v>64.095890410958901</v>
      </c>
      <c r="J19" s="18"/>
      <c r="K19" s="17">
        <v>3136970720</v>
      </c>
      <c r="L19" s="68" t="s">
        <v>223</v>
      </c>
      <c r="M19" s="17" t="s">
        <v>208</v>
      </c>
      <c r="N19" s="44" t="s">
        <v>141</v>
      </c>
      <c r="O19" s="17" t="s">
        <v>224</v>
      </c>
      <c r="P19" s="44" t="s">
        <v>158</v>
      </c>
      <c r="Q19" s="44" t="s">
        <v>197</v>
      </c>
      <c r="R19" s="50">
        <v>2024</v>
      </c>
      <c r="S19" s="47" t="s">
        <v>166</v>
      </c>
      <c r="T19" s="51"/>
      <c r="U19" s="15"/>
      <c r="V19" s="15"/>
      <c r="W19" s="70"/>
      <c r="X19" s="70"/>
      <c r="Y19" s="70"/>
      <c r="Z19" s="70"/>
      <c r="AA19" s="70"/>
      <c r="AB19" s="70"/>
    </row>
    <row r="20" spans="1:28" s="16" customFormat="1" ht="15.75" customHeight="1">
      <c r="A20" s="86"/>
      <c r="B20" s="87" t="s">
        <v>225</v>
      </c>
      <c r="C20" s="88" t="s">
        <v>151</v>
      </c>
      <c r="D20" s="88" t="s">
        <v>205</v>
      </c>
      <c r="E20" s="93" t="s">
        <v>226</v>
      </c>
      <c r="F20" s="93">
        <v>1039911519</v>
      </c>
      <c r="G20" s="104" t="s">
        <v>28</v>
      </c>
      <c r="H20" s="90">
        <v>40110</v>
      </c>
      <c r="I20" s="91">
        <f t="shared" ca="1" si="0"/>
        <v>16.578082191780823</v>
      </c>
      <c r="J20" s="87" t="s">
        <v>227</v>
      </c>
      <c r="K20" s="93">
        <v>3005396683</v>
      </c>
      <c r="L20" s="105" t="s">
        <v>228</v>
      </c>
      <c r="M20" s="89" t="s">
        <v>208</v>
      </c>
      <c r="N20" s="93" t="s">
        <v>229</v>
      </c>
      <c r="O20" s="93" t="s">
        <v>192</v>
      </c>
      <c r="P20" s="93" t="s">
        <v>165</v>
      </c>
      <c r="Q20" s="93" t="s">
        <v>230</v>
      </c>
      <c r="R20" s="94">
        <v>2025</v>
      </c>
      <c r="S20" s="106" t="s">
        <v>160</v>
      </c>
      <c r="T20" s="96">
        <v>116</v>
      </c>
      <c r="U20" s="97" t="s">
        <v>210</v>
      </c>
      <c r="V20" s="97"/>
      <c r="W20" s="98"/>
      <c r="X20" s="98"/>
      <c r="Y20" s="98"/>
      <c r="Z20" s="98"/>
      <c r="AA20" s="98"/>
      <c r="AB20" s="98"/>
    </row>
    <row r="21" spans="1:28" s="16" customFormat="1" ht="15.75" customHeight="1">
      <c r="A21" s="86"/>
      <c r="B21" s="87" t="s">
        <v>225</v>
      </c>
      <c r="C21" s="88" t="s">
        <v>151</v>
      </c>
      <c r="D21" s="88" t="s">
        <v>205</v>
      </c>
      <c r="E21" s="93" t="s">
        <v>231</v>
      </c>
      <c r="F21" s="93">
        <v>43055497</v>
      </c>
      <c r="G21" s="104" t="s">
        <v>25</v>
      </c>
      <c r="H21" s="90">
        <v>23070</v>
      </c>
      <c r="I21" s="91">
        <f t="shared" ca="1" si="0"/>
        <v>63.263013698630139</v>
      </c>
      <c r="J21" s="87" t="s">
        <v>56</v>
      </c>
      <c r="K21" s="93">
        <v>3115933965</v>
      </c>
      <c r="L21" s="105" t="s">
        <v>232</v>
      </c>
      <c r="M21" s="89" t="s">
        <v>233</v>
      </c>
      <c r="N21" s="93" t="s">
        <v>76</v>
      </c>
      <c r="O21" s="93" t="s">
        <v>234</v>
      </c>
      <c r="P21" s="93" t="s">
        <v>158</v>
      </c>
      <c r="Q21" s="93" t="s">
        <v>159</v>
      </c>
      <c r="R21" s="94">
        <v>2025</v>
      </c>
      <c r="S21" s="106" t="s">
        <v>160</v>
      </c>
      <c r="T21" s="96"/>
      <c r="U21" s="97" t="s">
        <v>210</v>
      </c>
      <c r="V21" s="97"/>
      <c r="W21" s="98"/>
      <c r="X21" s="98"/>
      <c r="Y21" s="98"/>
      <c r="Z21" s="98"/>
      <c r="AA21" s="98"/>
      <c r="AB21" s="98"/>
    </row>
    <row r="22" spans="1:28" s="16" customFormat="1" ht="15.75" customHeight="1">
      <c r="A22" s="13" t="s">
        <v>181</v>
      </c>
      <c r="B22" s="18" t="s">
        <v>150</v>
      </c>
      <c r="C22" s="14" t="s">
        <v>151</v>
      </c>
      <c r="D22" s="14" t="s">
        <v>235</v>
      </c>
      <c r="E22" s="44" t="s">
        <v>236</v>
      </c>
      <c r="F22" s="44">
        <v>43577287</v>
      </c>
      <c r="G22" s="107" t="s">
        <v>25</v>
      </c>
      <c r="H22" s="66">
        <v>27268</v>
      </c>
      <c r="I22" s="67">
        <f t="shared" ca="1" si="0"/>
        <v>51.761643835616439</v>
      </c>
      <c r="J22" s="18"/>
      <c r="K22" s="44">
        <v>3173175409</v>
      </c>
      <c r="L22" s="108" t="s">
        <v>237</v>
      </c>
      <c r="M22" s="44" t="s">
        <v>235</v>
      </c>
      <c r="N22" s="44" t="s">
        <v>141</v>
      </c>
      <c r="O22" s="44" t="s">
        <v>238</v>
      </c>
      <c r="P22" s="44" t="s">
        <v>158</v>
      </c>
      <c r="Q22" s="49" t="s">
        <v>159</v>
      </c>
      <c r="R22" s="50">
        <v>2024</v>
      </c>
      <c r="S22" s="47" t="s">
        <v>166</v>
      </c>
      <c r="T22" s="51"/>
      <c r="U22" s="15"/>
      <c r="V22" s="15"/>
      <c r="W22" s="70"/>
      <c r="X22" s="70"/>
      <c r="Y22" s="70"/>
      <c r="Z22" s="70"/>
      <c r="AA22" s="70"/>
      <c r="AB22" s="70"/>
    </row>
    <row r="23" spans="1:28" s="16" customFormat="1" ht="15.75" customHeight="1">
      <c r="A23" s="13"/>
      <c r="B23" s="87" t="s">
        <v>150</v>
      </c>
      <c r="C23" s="88" t="s">
        <v>151</v>
      </c>
      <c r="D23" s="88" t="s">
        <v>235</v>
      </c>
      <c r="E23" s="93" t="s">
        <v>239</v>
      </c>
      <c r="F23" s="93">
        <v>71758578</v>
      </c>
      <c r="G23" s="104" t="s">
        <v>28</v>
      </c>
      <c r="H23" s="90">
        <v>27755</v>
      </c>
      <c r="I23" s="91">
        <f t="shared" ca="1" si="0"/>
        <v>50.42739726027397</v>
      </c>
      <c r="J23" s="87" t="s">
        <v>56</v>
      </c>
      <c r="K23" s="93">
        <v>3005877738</v>
      </c>
      <c r="L23" s="105" t="s">
        <v>240</v>
      </c>
      <c r="M23" s="93" t="s">
        <v>235</v>
      </c>
      <c r="N23" s="93" t="s">
        <v>141</v>
      </c>
      <c r="O23" s="93" t="s">
        <v>241</v>
      </c>
      <c r="P23" s="93" t="s">
        <v>158</v>
      </c>
      <c r="Q23" s="93" t="s">
        <v>193</v>
      </c>
      <c r="R23" s="94">
        <v>2024</v>
      </c>
      <c r="S23" s="106" t="s">
        <v>160</v>
      </c>
      <c r="T23" s="96"/>
      <c r="U23" s="97" t="s">
        <v>210</v>
      </c>
      <c r="V23" s="97"/>
      <c r="W23" s="98"/>
      <c r="X23" s="98"/>
      <c r="Y23" s="98"/>
      <c r="Z23" s="98"/>
      <c r="AA23" s="98"/>
      <c r="AB23" s="98"/>
    </row>
    <row r="24" spans="1:28" s="16" customFormat="1" ht="15.75" customHeight="1">
      <c r="A24" s="13"/>
      <c r="B24" s="87" t="s">
        <v>150</v>
      </c>
      <c r="C24" s="88" t="s">
        <v>151</v>
      </c>
      <c r="D24" s="88" t="s">
        <v>235</v>
      </c>
      <c r="E24" s="93" t="s">
        <v>242</v>
      </c>
      <c r="F24" s="93">
        <v>71527136</v>
      </c>
      <c r="G24" s="104" t="s">
        <v>28</v>
      </c>
      <c r="H24" s="90">
        <v>31426</v>
      </c>
      <c r="I24" s="91">
        <f t="shared" ca="1" si="0"/>
        <v>40.369863013698627</v>
      </c>
      <c r="J24" s="87" t="s">
        <v>56</v>
      </c>
      <c r="K24" s="93">
        <v>3143381608</v>
      </c>
      <c r="L24" s="93" t="s">
        <v>243</v>
      </c>
      <c r="M24" s="93" t="s">
        <v>235</v>
      </c>
      <c r="N24" s="93" t="s">
        <v>141</v>
      </c>
      <c r="O24" s="93" t="s">
        <v>244</v>
      </c>
      <c r="P24" s="93" t="s">
        <v>158</v>
      </c>
      <c r="Q24" s="99" t="s">
        <v>159</v>
      </c>
      <c r="R24" s="94">
        <v>2024</v>
      </c>
      <c r="S24" s="106" t="s">
        <v>160</v>
      </c>
      <c r="T24" s="96"/>
      <c r="U24" s="97" t="s">
        <v>210</v>
      </c>
      <c r="V24" s="97"/>
      <c r="W24" s="98"/>
      <c r="X24" s="98"/>
      <c r="Y24" s="98"/>
      <c r="Z24" s="98"/>
      <c r="AA24" s="98"/>
      <c r="AB24" s="98"/>
    </row>
    <row r="25" spans="1:28" s="16" customFormat="1" ht="15.75" customHeight="1">
      <c r="A25" s="13"/>
      <c r="B25" s="87" t="s">
        <v>150</v>
      </c>
      <c r="C25" s="88" t="s">
        <v>151</v>
      </c>
      <c r="D25" s="88" t="s">
        <v>235</v>
      </c>
      <c r="E25" s="93" t="s">
        <v>245</v>
      </c>
      <c r="F25" s="93">
        <v>71785581</v>
      </c>
      <c r="G25" s="104" t="s">
        <v>28</v>
      </c>
      <c r="H25" s="90">
        <v>28650</v>
      </c>
      <c r="I25" s="91">
        <f t="shared" ca="1" si="0"/>
        <v>47.975342465753428</v>
      </c>
      <c r="J25" s="87" t="s">
        <v>56</v>
      </c>
      <c r="K25" s="93">
        <v>3188396057</v>
      </c>
      <c r="L25" s="105" t="s">
        <v>246</v>
      </c>
      <c r="M25" s="93" t="s">
        <v>235</v>
      </c>
      <c r="N25" s="93" t="s">
        <v>141</v>
      </c>
      <c r="O25" s="93" t="s">
        <v>247</v>
      </c>
      <c r="P25" s="93" t="s">
        <v>158</v>
      </c>
      <c r="Q25" s="99" t="s">
        <v>159</v>
      </c>
      <c r="R25" s="94">
        <v>2024</v>
      </c>
      <c r="S25" s="106" t="s">
        <v>160</v>
      </c>
      <c r="T25" s="96"/>
      <c r="U25" s="97" t="s">
        <v>210</v>
      </c>
      <c r="V25" s="97"/>
      <c r="W25" s="98"/>
      <c r="X25" s="98"/>
      <c r="Y25" s="98"/>
      <c r="Z25" s="98"/>
      <c r="AA25" s="98"/>
      <c r="AB25" s="98"/>
    </row>
    <row r="26" spans="1:28" s="16" customFormat="1" ht="15.75" customHeight="1">
      <c r="A26" s="13"/>
      <c r="B26" s="18" t="s">
        <v>150</v>
      </c>
      <c r="C26" s="14" t="s">
        <v>151</v>
      </c>
      <c r="D26" s="14" t="s">
        <v>235</v>
      </c>
      <c r="E26" s="44" t="s">
        <v>248</v>
      </c>
      <c r="F26" s="44">
        <v>1020420633</v>
      </c>
      <c r="G26" s="107" t="s">
        <v>25</v>
      </c>
      <c r="H26" s="66">
        <v>32621</v>
      </c>
      <c r="I26" s="67">
        <f t="shared" ca="1" si="0"/>
        <v>37.095890410958901</v>
      </c>
      <c r="J26" s="18"/>
      <c r="K26" s="44">
        <v>3207167384</v>
      </c>
      <c r="L26" s="44" t="s">
        <v>249</v>
      </c>
      <c r="M26" s="44" t="s">
        <v>235</v>
      </c>
      <c r="N26" s="44" t="s">
        <v>186</v>
      </c>
      <c r="O26" s="44" t="s">
        <v>180</v>
      </c>
      <c r="P26" s="44" t="s">
        <v>250</v>
      </c>
      <c r="Q26" s="44" t="s">
        <v>250</v>
      </c>
      <c r="R26" s="50">
        <v>2024</v>
      </c>
      <c r="S26" s="47" t="s">
        <v>160</v>
      </c>
      <c r="T26" s="51"/>
      <c r="U26" s="15"/>
      <c r="V26" s="15"/>
      <c r="W26" s="70"/>
      <c r="X26" s="70"/>
      <c r="Y26" s="70"/>
      <c r="Z26" s="70"/>
      <c r="AA26" s="70"/>
      <c r="AB26" s="70"/>
    </row>
    <row r="27" spans="1:28" s="16" customFormat="1" ht="15.75" customHeight="1">
      <c r="A27" s="13" t="s">
        <v>181</v>
      </c>
      <c r="B27" s="18" t="s">
        <v>150</v>
      </c>
      <c r="C27" s="14" t="s">
        <v>151</v>
      </c>
      <c r="D27" s="14" t="s">
        <v>251</v>
      </c>
      <c r="E27" s="17" t="s">
        <v>252</v>
      </c>
      <c r="F27" s="17">
        <v>6695424</v>
      </c>
      <c r="G27" s="17" t="s">
        <v>28</v>
      </c>
      <c r="H27" s="66">
        <v>19639</v>
      </c>
      <c r="I27" s="67">
        <f t="shared" ca="1" si="0"/>
        <v>72.663013698630138</v>
      </c>
      <c r="J27" s="18"/>
      <c r="K27" s="17">
        <v>3016467966</v>
      </c>
      <c r="L27" s="17" t="s">
        <v>253</v>
      </c>
      <c r="M27" s="14" t="s">
        <v>251</v>
      </c>
      <c r="N27" s="17" t="s">
        <v>254</v>
      </c>
      <c r="O27" s="17" t="s">
        <v>255</v>
      </c>
      <c r="P27" s="44" t="s">
        <v>165</v>
      </c>
      <c r="Q27" s="17" t="s">
        <v>230</v>
      </c>
      <c r="R27" s="50">
        <v>2024</v>
      </c>
      <c r="S27" s="101" t="s">
        <v>166</v>
      </c>
      <c r="T27" s="51"/>
      <c r="U27" s="15"/>
      <c r="V27" s="15"/>
      <c r="W27" s="70"/>
      <c r="X27" s="70"/>
      <c r="Y27" s="70"/>
      <c r="Z27" s="70"/>
      <c r="AA27" s="70"/>
      <c r="AB27" s="70"/>
    </row>
    <row r="28" spans="1:28" s="16" customFormat="1" ht="15.75" customHeight="1">
      <c r="A28" s="13"/>
      <c r="B28" s="18" t="s">
        <v>150</v>
      </c>
      <c r="C28" s="14" t="s">
        <v>151</v>
      </c>
      <c r="D28" s="14" t="s">
        <v>251</v>
      </c>
      <c r="E28" s="17" t="s">
        <v>256</v>
      </c>
      <c r="F28" s="17">
        <v>71669162</v>
      </c>
      <c r="G28" s="17" t="s">
        <v>28</v>
      </c>
      <c r="H28" s="66">
        <v>24100</v>
      </c>
      <c r="I28" s="67">
        <f t="shared" ca="1" si="0"/>
        <v>60.441095890410956</v>
      </c>
      <c r="J28" s="18"/>
      <c r="K28" s="17">
        <v>3245851434</v>
      </c>
      <c r="L28" s="17"/>
      <c r="M28" s="14" t="s">
        <v>251</v>
      </c>
      <c r="N28" s="17" t="s">
        <v>89</v>
      </c>
      <c r="O28" s="17" t="s">
        <v>164</v>
      </c>
      <c r="P28" s="44" t="s">
        <v>165</v>
      </c>
      <c r="Q28" s="17" t="s">
        <v>230</v>
      </c>
      <c r="R28" s="50">
        <v>2024</v>
      </c>
      <c r="S28" s="101" t="s">
        <v>160</v>
      </c>
      <c r="T28" s="51"/>
      <c r="U28" s="15"/>
      <c r="V28" s="15"/>
      <c r="W28" s="70"/>
      <c r="X28" s="70"/>
      <c r="Y28" s="70"/>
      <c r="Z28" s="70"/>
      <c r="AA28" s="70"/>
      <c r="AB28" s="70"/>
    </row>
    <row r="29" spans="1:28" s="16" customFormat="1" ht="15.75" customHeight="1">
      <c r="A29" s="13"/>
      <c r="B29" s="18" t="s">
        <v>150</v>
      </c>
      <c r="C29" s="14" t="s">
        <v>151</v>
      </c>
      <c r="D29" s="14" t="s">
        <v>251</v>
      </c>
      <c r="E29" s="17" t="s">
        <v>257</v>
      </c>
      <c r="F29" s="17">
        <v>70901212</v>
      </c>
      <c r="G29" s="17" t="s">
        <v>28</v>
      </c>
      <c r="H29" s="66" t="s">
        <v>258</v>
      </c>
      <c r="I29" s="67" t="e">
        <f t="shared" ca="1" si="0"/>
        <v>#VALUE!</v>
      </c>
      <c r="J29" s="18"/>
      <c r="K29" s="17">
        <v>3006713874</v>
      </c>
      <c r="L29" s="17"/>
      <c r="M29" s="14" t="s">
        <v>251</v>
      </c>
      <c r="N29" s="17" t="s">
        <v>163</v>
      </c>
      <c r="O29" s="17" t="s">
        <v>255</v>
      </c>
      <c r="P29" s="44" t="s">
        <v>165</v>
      </c>
      <c r="Q29" s="17" t="s">
        <v>230</v>
      </c>
      <c r="R29" s="50">
        <v>2024</v>
      </c>
      <c r="S29" s="101" t="s">
        <v>160</v>
      </c>
      <c r="T29" s="51"/>
      <c r="U29" s="15"/>
      <c r="V29" s="15"/>
      <c r="W29" s="70"/>
      <c r="X29" s="70"/>
      <c r="Y29" s="70"/>
      <c r="Z29" s="70"/>
      <c r="AA29" s="70"/>
      <c r="AB29" s="70"/>
    </row>
    <row r="30" spans="1:28" s="16" customFormat="1" ht="15.75" customHeight="1">
      <c r="A30" s="13"/>
      <c r="B30" s="18" t="s">
        <v>150</v>
      </c>
      <c r="C30" s="14" t="s">
        <v>151</v>
      </c>
      <c r="D30" s="14" t="s">
        <v>251</v>
      </c>
      <c r="E30" s="17" t="s">
        <v>259</v>
      </c>
      <c r="F30" s="17">
        <v>15918497</v>
      </c>
      <c r="G30" s="17" t="s">
        <v>28</v>
      </c>
      <c r="H30" s="66">
        <v>24923</v>
      </c>
      <c r="I30" s="67">
        <f t="shared" ca="1" si="0"/>
        <v>58.186301369863017</v>
      </c>
      <c r="J30" s="18"/>
      <c r="K30" s="17">
        <v>3002793628</v>
      </c>
      <c r="L30" s="17"/>
      <c r="M30" s="14" t="s">
        <v>251</v>
      </c>
      <c r="N30" s="17" t="s">
        <v>260</v>
      </c>
      <c r="O30" s="17" t="s">
        <v>255</v>
      </c>
      <c r="P30" s="44" t="s">
        <v>158</v>
      </c>
      <c r="Q30" s="49" t="s">
        <v>159</v>
      </c>
      <c r="R30" s="50">
        <v>2024</v>
      </c>
      <c r="S30" s="101" t="s">
        <v>160</v>
      </c>
      <c r="T30" s="51"/>
      <c r="U30" s="15"/>
      <c r="V30" s="15"/>
      <c r="W30" s="70"/>
      <c r="X30" s="70"/>
      <c r="Y30" s="70"/>
      <c r="Z30" s="70"/>
      <c r="AA30" s="70"/>
      <c r="AB30" s="70"/>
    </row>
    <row r="31" spans="1:28" s="16" customFormat="1" ht="15.75" customHeight="1">
      <c r="A31" s="13"/>
      <c r="B31" s="18" t="s">
        <v>150</v>
      </c>
      <c r="C31" s="14" t="s">
        <v>151</v>
      </c>
      <c r="D31" s="14" t="s">
        <v>251</v>
      </c>
      <c r="E31" s="17" t="s">
        <v>261</v>
      </c>
      <c r="F31" s="17">
        <v>42895101</v>
      </c>
      <c r="G31" s="17" t="s">
        <v>25</v>
      </c>
      <c r="H31" s="66">
        <v>24894</v>
      </c>
      <c r="I31" s="67">
        <f t="shared" ca="1" si="0"/>
        <v>58.265753424657532</v>
      </c>
      <c r="J31" s="18"/>
      <c r="K31" s="17">
        <v>3016128976</v>
      </c>
      <c r="L31" s="44" t="s">
        <v>262</v>
      </c>
      <c r="M31" s="14" t="s">
        <v>251</v>
      </c>
      <c r="N31" s="17" t="s">
        <v>141</v>
      </c>
      <c r="O31" s="17" t="s">
        <v>180</v>
      </c>
      <c r="P31" s="44" t="s">
        <v>165</v>
      </c>
      <c r="Q31" s="17" t="s">
        <v>263</v>
      </c>
      <c r="R31" s="50">
        <v>2024</v>
      </c>
      <c r="S31" s="101" t="s">
        <v>160</v>
      </c>
      <c r="T31" s="51"/>
      <c r="U31" s="15"/>
      <c r="V31" s="15"/>
      <c r="W31" s="70"/>
      <c r="X31" s="70"/>
      <c r="Y31" s="70"/>
      <c r="Z31" s="70"/>
      <c r="AA31" s="70"/>
      <c r="AB31" s="70"/>
    </row>
    <row r="32" spans="1:28" s="16" customFormat="1" ht="15.75" customHeight="1">
      <c r="A32" s="13"/>
      <c r="B32" s="18" t="s">
        <v>150</v>
      </c>
      <c r="C32" s="14" t="s">
        <v>151</v>
      </c>
      <c r="D32" s="14" t="s">
        <v>251</v>
      </c>
      <c r="E32" s="17" t="s">
        <v>264</v>
      </c>
      <c r="F32" s="17">
        <v>1128398803</v>
      </c>
      <c r="G32" s="17" t="s">
        <v>28</v>
      </c>
      <c r="H32" s="66">
        <v>32556</v>
      </c>
      <c r="I32" s="67">
        <f t="shared" ca="1" si="0"/>
        <v>37.273972602739725</v>
      </c>
      <c r="J32" s="18"/>
      <c r="K32" s="17">
        <v>3001222728</v>
      </c>
      <c r="L32" s="44"/>
      <c r="M32" s="14" t="s">
        <v>251</v>
      </c>
      <c r="N32" s="17" t="s">
        <v>89</v>
      </c>
      <c r="O32" s="17" t="s">
        <v>255</v>
      </c>
      <c r="P32" s="44" t="s">
        <v>165</v>
      </c>
      <c r="Q32" s="44" t="s">
        <v>197</v>
      </c>
      <c r="R32" s="50">
        <v>2024</v>
      </c>
      <c r="S32" s="101" t="s">
        <v>160</v>
      </c>
      <c r="T32" s="51"/>
      <c r="U32" s="15"/>
      <c r="V32" s="15"/>
      <c r="W32" s="70"/>
      <c r="X32" s="70"/>
      <c r="Y32" s="70"/>
      <c r="Z32" s="70"/>
      <c r="AA32" s="70"/>
      <c r="AB32" s="70"/>
    </row>
    <row r="33" spans="1:28" s="16" customFormat="1" ht="15.75" customHeight="1">
      <c r="A33" s="13"/>
      <c r="B33" s="18" t="s">
        <v>150</v>
      </c>
      <c r="C33" s="14" t="s">
        <v>151</v>
      </c>
      <c r="D33" s="14" t="s">
        <v>265</v>
      </c>
      <c r="E33" s="44" t="s">
        <v>266</v>
      </c>
      <c r="F33" s="44">
        <v>44003685</v>
      </c>
      <c r="G33" s="44" t="s">
        <v>25</v>
      </c>
      <c r="H33" s="66">
        <v>31127</v>
      </c>
      <c r="I33" s="67">
        <f t="shared" ca="1" si="0"/>
        <v>41.18904109589041</v>
      </c>
      <c r="J33" s="18"/>
      <c r="K33" s="44">
        <v>3244791561</v>
      </c>
      <c r="L33" s="44" t="s">
        <v>267</v>
      </c>
      <c r="M33" s="44" t="s">
        <v>265</v>
      </c>
      <c r="N33" s="44" t="s">
        <v>141</v>
      </c>
      <c r="O33" s="44" t="s">
        <v>268</v>
      </c>
      <c r="P33" s="44" t="s">
        <v>165</v>
      </c>
      <c r="Q33" s="49" t="s">
        <v>159</v>
      </c>
      <c r="R33" s="50">
        <v>2024</v>
      </c>
      <c r="S33" s="47" t="s">
        <v>269</v>
      </c>
      <c r="T33" s="51"/>
      <c r="U33" s="15"/>
      <c r="V33" s="15"/>
      <c r="W33" s="70"/>
      <c r="X33" s="70"/>
      <c r="Y33" s="70"/>
      <c r="Z33" s="70"/>
      <c r="AA33" s="70"/>
      <c r="AB33" s="70"/>
    </row>
    <row r="34" spans="1:28" s="16" customFormat="1" ht="15.75" customHeight="1">
      <c r="A34" s="13"/>
      <c r="B34" s="18" t="s">
        <v>150</v>
      </c>
      <c r="C34" s="14" t="s">
        <v>151</v>
      </c>
      <c r="D34" s="14" t="s">
        <v>265</v>
      </c>
      <c r="E34" s="44" t="s">
        <v>270</v>
      </c>
      <c r="F34" s="44">
        <v>1151447820</v>
      </c>
      <c r="G34" s="44" t="s">
        <v>25</v>
      </c>
      <c r="H34" s="66">
        <v>33453</v>
      </c>
      <c r="I34" s="67">
        <f t="shared" ca="1" si="0"/>
        <v>34.816438356164383</v>
      </c>
      <c r="J34" s="93" t="s">
        <v>271</v>
      </c>
      <c r="K34" s="93">
        <v>1061624367</v>
      </c>
      <c r="L34" s="93" t="s">
        <v>28</v>
      </c>
      <c r="M34" s="90">
        <v>31941</v>
      </c>
      <c r="N34" s="91">
        <f ca="1">(TODAY()-M34)/365</f>
        <v>38.958904109589042</v>
      </c>
      <c r="O34" s="87" t="s">
        <v>272</v>
      </c>
      <c r="P34" s="93">
        <v>3233033568</v>
      </c>
      <c r="Q34" s="44" t="s">
        <v>193</v>
      </c>
      <c r="R34" s="50">
        <v>2024</v>
      </c>
      <c r="S34" s="47" t="s">
        <v>160</v>
      </c>
      <c r="T34" s="51"/>
      <c r="U34" s="15"/>
      <c r="V34" s="15"/>
      <c r="W34" s="70"/>
      <c r="X34" s="70"/>
      <c r="Y34" s="70"/>
      <c r="Z34" s="70"/>
      <c r="AA34" s="70"/>
      <c r="AB34" s="70"/>
    </row>
    <row r="35" spans="1:28" s="16" customFormat="1" ht="15.75" customHeight="1">
      <c r="A35" s="86"/>
      <c r="B35" s="87" t="s">
        <v>150</v>
      </c>
      <c r="C35" s="88" t="s">
        <v>151</v>
      </c>
      <c r="D35" s="88" t="s">
        <v>265</v>
      </c>
      <c r="L35" s="93" t="s">
        <v>273</v>
      </c>
      <c r="M35" s="93" t="s">
        <v>265</v>
      </c>
      <c r="N35" s="93" t="s">
        <v>136</v>
      </c>
      <c r="O35" s="93"/>
      <c r="P35" s="93"/>
      <c r="Q35" s="93"/>
      <c r="R35" s="94">
        <v>2024</v>
      </c>
      <c r="S35" s="106" t="s">
        <v>160</v>
      </c>
      <c r="T35" s="96"/>
      <c r="U35" s="97" t="s">
        <v>210</v>
      </c>
      <c r="V35" s="97"/>
      <c r="W35" s="98"/>
      <c r="X35" s="98"/>
      <c r="Y35" s="98"/>
      <c r="Z35" s="98"/>
      <c r="AA35" s="98"/>
      <c r="AB35" s="98"/>
    </row>
    <row r="36" spans="1:28" s="16" customFormat="1" ht="15.75" customHeight="1">
      <c r="A36" s="13"/>
      <c r="B36" s="18" t="s">
        <v>150</v>
      </c>
      <c r="C36" s="14" t="s">
        <v>151</v>
      </c>
      <c r="D36" s="14" t="s">
        <v>265</v>
      </c>
      <c r="E36" s="44" t="s">
        <v>274</v>
      </c>
      <c r="F36" s="44">
        <v>1128428001</v>
      </c>
      <c r="G36" s="44" t="s">
        <v>25</v>
      </c>
      <c r="H36" s="66">
        <v>33707</v>
      </c>
      <c r="I36" s="67">
        <f t="shared" ref="I36:I68" ca="1" si="1">(TODAY()-H36)/365</f>
        <v>34.12054794520548</v>
      </c>
      <c r="J36" s="18"/>
      <c r="K36" s="44">
        <v>3244791561</v>
      </c>
      <c r="L36" s="44"/>
      <c r="M36" s="44" t="s">
        <v>265</v>
      </c>
      <c r="N36" s="44" t="s">
        <v>186</v>
      </c>
      <c r="O36" s="44" t="s">
        <v>275</v>
      </c>
      <c r="P36" s="44" t="s">
        <v>165</v>
      </c>
      <c r="Q36" s="49" t="s">
        <v>159</v>
      </c>
      <c r="R36" s="50">
        <v>2024</v>
      </c>
      <c r="S36" s="47" t="s">
        <v>160</v>
      </c>
      <c r="T36" s="51"/>
      <c r="U36" s="15"/>
      <c r="V36" s="15"/>
      <c r="W36" s="70"/>
      <c r="X36" s="70"/>
      <c r="Y36" s="70"/>
      <c r="Z36" s="70"/>
      <c r="AA36" s="70"/>
      <c r="AB36" s="70"/>
    </row>
    <row r="37" spans="1:28" s="16" customFormat="1" ht="15.75" customHeight="1">
      <c r="A37" s="13"/>
      <c r="B37" s="18" t="s">
        <v>150</v>
      </c>
      <c r="C37" s="14" t="s">
        <v>151</v>
      </c>
      <c r="D37" s="14" t="s">
        <v>265</v>
      </c>
      <c r="E37" s="44" t="s">
        <v>276</v>
      </c>
      <c r="F37" s="44">
        <v>4413648</v>
      </c>
      <c r="G37" s="44" t="s">
        <v>28</v>
      </c>
      <c r="H37" s="66">
        <v>28937</v>
      </c>
      <c r="I37" s="67">
        <f t="shared" ca="1" si="1"/>
        <v>47.18904109589041</v>
      </c>
      <c r="J37" s="18"/>
      <c r="K37" s="44"/>
      <c r="L37" s="44"/>
      <c r="M37" s="44" t="s">
        <v>265</v>
      </c>
      <c r="N37" s="44"/>
      <c r="O37" s="44" t="s">
        <v>277</v>
      </c>
      <c r="P37" s="44" t="s">
        <v>165</v>
      </c>
      <c r="Q37" s="17" t="s">
        <v>230</v>
      </c>
      <c r="R37" s="50">
        <v>2024</v>
      </c>
      <c r="S37" s="47" t="s">
        <v>160</v>
      </c>
      <c r="T37" s="51"/>
      <c r="U37" s="15"/>
      <c r="V37" s="15"/>
      <c r="W37" s="70"/>
      <c r="X37" s="70"/>
      <c r="Y37" s="70"/>
      <c r="Z37" s="70"/>
      <c r="AA37" s="70"/>
      <c r="AB37" s="70"/>
    </row>
    <row r="38" spans="1:28" s="16" customFormat="1" ht="15.75" customHeight="1">
      <c r="A38" s="13"/>
      <c r="B38" s="18" t="s">
        <v>150</v>
      </c>
      <c r="C38" s="14" t="s">
        <v>151</v>
      </c>
      <c r="D38" s="14" t="s">
        <v>265</v>
      </c>
      <c r="E38" s="44" t="s">
        <v>278</v>
      </c>
      <c r="F38" s="44">
        <v>70471765</v>
      </c>
      <c r="G38" s="44" t="s">
        <v>28</v>
      </c>
      <c r="H38" s="66">
        <v>29447</v>
      </c>
      <c r="I38" s="67">
        <f t="shared" ca="1" si="1"/>
        <v>45.791780821917811</v>
      </c>
      <c r="J38" s="18"/>
      <c r="K38" s="44"/>
      <c r="L38" s="44"/>
      <c r="M38" s="44" t="s">
        <v>265</v>
      </c>
      <c r="N38" s="44" t="s">
        <v>141</v>
      </c>
      <c r="O38" s="44" t="s">
        <v>279</v>
      </c>
      <c r="P38" s="44" t="s">
        <v>165</v>
      </c>
      <c r="Q38" s="17" t="s">
        <v>230</v>
      </c>
      <c r="R38" s="50">
        <v>2024</v>
      </c>
      <c r="S38" s="47" t="s">
        <v>160</v>
      </c>
      <c r="T38" s="51"/>
      <c r="U38" s="15"/>
      <c r="V38" s="15"/>
      <c r="W38" s="70"/>
      <c r="X38" s="70"/>
      <c r="Y38" s="70"/>
      <c r="Z38" s="70"/>
      <c r="AA38" s="70"/>
      <c r="AB38" s="70"/>
    </row>
    <row r="39" spans="1:28" s="16" customFormat="1" ht="15.75" customHeight="1">
      <c r="A39" s="86"/>
      <c r="B39" s="87" t="s">
        <v>150</v>
      </c>
      <c r="C39" s="88" t="s">
        <v>151</v>
      </c>
      <c r="D39" s="88" t="s">
        <v>280</v>
      </c>
      <c r="E39" s="93" t="s">
        <v>281</v>
      </c>
      <c r="F39" s="93">
        <v>71671176</v>
      </c>
      <c r="G39" s="104" t="s">
        <v>28</v>
      </c>
      <c r="H39" s="90">
        <v>23928</v>
      </c>
      <c r="I39" s="91">
        <f t="shared" ca="1" si="1"/>
        <v>60.912328767123284</v>
      </c>
      <c r="J39" s="87" t="s">
        <v>56</v>
      </c>
      <c r="K39" s="93">
        <v>3005206667</v>
      </c>
      <c r="L39" s="109" t="s">
        <v>282</v>
      </c>
      <c r="M39" s="93" t="s">
        <v>280</v>
      </c>
      <c r="N39" s="93" t="s">
        <v>186</v>
      </c>
      <c r="O39" s="93" t="s">
        <v>164</v>
      </c>
      <c r="P39" s="93" t="s">
        <v>165</v>
      </c>
      <c r="Q39" s="99" t="s">
        <v>159</v>
      </c>
      <c r="R39" s="94">
        <v>2024</v>
      </c>
      <c r="S39" s="106" t="s">
        <v>166</v>
      </c>
      <c r="T39" s="96"/>
      <c r="U39" s="97" t="s">
        <v>210</v>
      </c>
      <c r="V39" s="97"/>
      <c r="W39" s="98"/>
      <c r="X39" s="98"/>
      <c r="Y39" s="98"/>
      <c r="Z39" s="98"/>
      <c r="AA39" s="98"/>
      <c r="AB39" s="98"/>
    </row>
    <row r="40" spans="1:28" s="16" customFormat="1" ht="15.75" customHeight="1">
      <c r="A40" s="13"/>
      <c r="B40" s="18" t="s">
        <v>150</v>
      </c>
      <c r="C40" s="14" t="s">
        <v>151</v>
      </c>
      <c r="D40" s="14" t="s">
        <v>280</v>
      </c>
      <c r="E40" s="44" t="s">
        <v>283</v>
      </c>
      <c r="F40" s="44">
        <v>70068971</v>
      </c>
      <c r="G40" s="107" t="s">
        <v>28</v>
      </c>
      <c r="H40" s="66">
        <v>20000</v>
      </c>
      <c r="I40" s="67">
        <f t="shared" ca="1" si="1"/>
        <v>71.673972602739724</v>
      </c>
      <c r="J40" s="18"/>
      <c r="K40" s="44">
        <v>3012261250</v>
      </c>
      <c r="L40" s="44" t="s">
        <v>284</v>
      </c>
      <c r="M40" s="44" t="s">
        <v>280</v>
      </c>
      <c r="N40" s="44" t="s">
        <v>89</v>
      </c>
      <c r="O40" s="44" t="s">
        <v>285</v>
      </c>
      <c r="P40" s="44" t="s">
        <v>165</v>
      </c>
      <c r="Q40" s="17" t="s">
        <v>230</v>
      </c>
      <c r="R40" s="50">
        <v>2024</v>
      </c>
      <c r="S40" s="47" t="s">
        <v>160</v>
      </c>
      <c r="T40" s="51"/>
      <c r="U40" s="15"/>
      <c r="V40" s="15"/>
      <c r="W40" s="70"/>
      <c r="X40" s="70"/>
      <c r="Y40" s="70"/>
      <c r="Z40" s="70"/>
      <c r="AA40" s="70"/>
      <c r="AB40" s="70"/>
    </row>
    <row r="41" spans="1:28" s="16" customFormat="1" ht="15.75" customHeight="1">
      <c r="A41" s="86"/>
      <c r="B41" s="87" t="s">
        <v>150</v>
      </c>
      <c r="C41" s="88" t="s">
        <v>151</v>
      </c>
      <c r="D41" s="88" t="s">
        <v>280</v>
      </c>
      <c r="E41" s="93" t="s">
        <v>286</v>
      </c>
      <c r="F41" s="93">
        <v>43070172</v>
      </c>
      <c r="G41" s="104" t="s">
        <v>25</v>
      </c>
      <c r="H41" s="90">
        <v>23502</v>
      </c>
      <c r="I41" s="91">
        <f t="shared" ca="1" si="1"/>
        <v>62.079452054794523</v>
      </c>
      <c r="J41" s="87" t="s">
        <v>56</v>
      </c>
      <c r="K41" s="93">
        <v>3146015695</v>
      </c>
      <c r="L41" s="93" t="s">
        <v>287</v>
      </c>
      <c r="M41" s="93" t="s">
        <v>280</v>
      </c>
      <c r="N41" s="93" t="s">
        <v>141</v>
      </c>
      <c r="O41" s="93" t="s">
        <v>180</v>
      </c>
      <c r="P41" s="93" t="s">
        <v>165</v>
      </c>
      <c r="Q41" s="89" t="s">
        <v>230</v>
      </c>
      <c r="R41" s="94">
        <v>2024</v>
      </c>
      <c r="S41" s="106" t="s">
        <v>160</v>
      </c>
      <c r="T41" s="96"/>
      <c r="U41" s="97" t="s">
        <v>210</v>
      </c>
      <c r="V41" s="97"/>
      <c r="W41" s="98"/>
      <c r="X41" s="98"/>
      <c r="Y41" s="98"/>
      <c r="Z41" s="98"/>
      <c r="AA41" s="98"/>
      <c r="AB41" s="98"/>
    </row>
    <row r="42" spans="1:28" s="16" customFormat="1" ht="15.75" customHeight="1">
      <c r="A42" s="86"/>
      <c r="B42" s="87" t="s">
        <v>150</v>
      </c>
      <c r="C42" s="88" t="s">
        <v>151</v>
      </c>
      <c r="D42" s="88" t="s">
        <v>280</v>
      </c>
      <c r="E42" s="93" t="s">
        <v>288</v>
      </c>
      <c r="F42" s="93">
        <v>70165475</v>
      </c>
      <c r="G42" s="104" t="s">
        <v>28</v>
      </c>
      <c r="H42" s="90">
        <v>27084</v>
      </c>
      <c r="I42" s="91">
        <f t="shared" ca="1" si="1"/>
        <v>52.265753424657532</v>
      </c>
      <c r="J42" s="87" t="s">
        <v>56</v>
      </c>
      <c r="K42" s="93">
        <v>3205264106</v>
      </c>
      <c r="L42" s="93" t="s">
        <v>289</v>
      </c>
      <c r="M42" s="93" t="s">
        <v>280</v>
      </c>
      <c r="N42" s="93" t="s">
        <v>141</v>
      </c>
      <c r="O42" s="93" t="s">
        <v>290</v>
      </c>
      <c r="P42" s="93" t="s">
        <v>165</v>
      </c>
      <c r="Q42" s="99" t="s">
        <v>159</v>
      </c>
      <c r="R42" s="94">
        <v>2024</v>
      </c>
      <c r="S42" s="106" t="s">
        <v>160</v>
      </c>
      <c r="T42" s="96"/>
      <c r="U42" s="97" t="s">
        <v>210</v>
      </c>
      <c r="V42" s="97"/>
      <c r="W42" s="98"/>
      <c r="X42" s="98"/>
      <c r="Y42" s="98"/>
      <c r="Z42" s="98"/>
      <c r="AA42" s="98"/>
      <c r="AB42" s="98"/>
    </row>
    <row r="43" spans="1:28" s="16" customFormat="1" ht="15.75" customHeight="1">
      <c r="A43" s="13"/>
      <c r="B43" s="18" t="s">
        <v>150</v>
      </c>
      <c r="C43" s="14" t="s">
        <v>151</v>
      </c>
      <c r="D43" s="14" t="s">
        <v>280</v>
      </c>
      <c r="E43" s="44" t="s">
        <v>291</v>
      </c>
      <c r="F43" s="44">
        <v>71718295</v>
      </c>
      <c r="G43" s="107" t="s">
        <v>28</v>
      </c>
      <c r="H43" s="66">
        <v>25429</v>
      </c>
      <c r="I43" s="67">
        <f t="shared" ca="1" si="1"/>
        <v>56.8</v>
      </c>
      <c r="J43" s="18"/>
      <c r="K43" s="44">
        <v>3218167053</v>
      </c>
      <c r="L43" s="44" t="s">
        <v>292</v>
      </c>
      <c r="M43" s="44" t="s">
        <v>280</v>
      </c>
      <c r="N43" s="44" t="s">
        <v>163</v>
      </c>
      <c r="O43" s="44" t="s">
        <v>164</v>
      </c>
      <c r="P43" s="44" t="s">
        <v>165</v>
      </c>
      <c r="Q43" s="44" t="s">
        <v>174</v>
      </c>
      <c r="R43" s="50">
        <v>2024</v>
      </c>
      <c r="S43" s="47" t="s">
        <v>160</v>
      </c>
      <c r="T43" s="51"/>
      <c r="U43" s="15"/>
      <c r="V43" s="15"/>
      <c r="W43" s="70"/>
      <c r="X43" s="70"/>
      <c r="Y43" s="70"/>
      <c r="Z43" s="70"/>
      <c r="AA43" s="70"/>
      <c r="AB43" s="70"/>
    </row>
    <row r="44" spans="1:28" s="16" customFormat="1" ht="15.75" customHeight="1">
      <c r="A44" s="86"/>
      <c r="B44" s="87" t="s">
        <v>150</v>
      </c>
      <c r="C44" s="88" t="s">
        <v>151</v>
      </c>
      <c r="D44" s="88" t="s">
        <v>280</v>
      </c>
      <c r="E44" s="93" t="s">
        <v>293</v>
      </c>
      <c r="F44" s="93">
        <v>81622223</v>
      </c>
      <c r="G44" s="104" t="s">
        <v>28</v>
      </c>
      <c r="H44" s="90">
        <v>30267</v>
      </c>
      <c r="I44" s="91">
        <f t="shared" ca="1" si="1"/>
        <v>43.545205479452058</v>
      </c>
      <c r="J44" s="87" t="s">
        <v>114</v>
      </c>
      <c r="K44" s="93">
        <v>3009782320</v>
      </c>
      <c r="L44" s="93"/>
      <c r="M44" s="93" t="s">
        <v>280</v>
      </c>
      <c r="N44" s="93" t="s">
        <v>136</v>
      </c>
      <c r="O44" s="93"/>
      <c r="P44" s="93"/>
      <c r="Q44" s="93"/>
      <c r="R44" s="94">
        <v>2024</v>
      </c>
      <c r="S44" s="106" t="s">
        <v>160</v>
      </c>
      <c r="T44" s="96"/>
      <c r="U44" s="97" t="s">
        <v>210</v>
      </c>
      <c r="V44" s="97"/>
      <c r="W44" s="98"/>
      <c r="X44" s="98"/>
      <c r="Y44" s="98"/>
      <c r="Z44" s="98"/>
      <c r="AA44" s="98"/>
      <c r="AB44" s="98"/>
    </row>
    <row r="45" spans="1:28" s="16" customFormat="1" ht="15" customHeight="1">
      <c r="A45" s="13"/>
      <c r="B45" s="18" t="s">
        <v>150</v>
      </c>
      <c r="C45" s="14" t="s">
        <v>151</v>
      </c>
      <c r="D45" s="14" t="s">
        <v>294</v>
      </c>
      <c r="E45" s="44" t="s">
        <v>295</v>
      </c>
      <c r="F45" s="44">
        <v>43577555</v>
      </c>
      <c r="G45" s="44" t="s">
        <v>25</v>
      </c>
      <c r="H45" s="66">
        <v>25060</v>
      </c>
      <c r="I45" s="67">
        <f t="shared" ca="1" si="1"/>
        <v>57.81095890410959</v>
      </c>
      <c r="J45" s="18"/>
      <c r="K45" s="44">
        <v>3242731649</v>
      </c>
      <c r="L45" s="44" t="s">
        <v>296</v>
      </c>
      <c r="M45" s="44" t="s">
        <v>297</v>
      </c>
      <c r="N45" s="44" t="s">
        <v>59</v>
      </c>
      <c r="O45" s="44" t="s">
        <v>298</v>
      </c>
      <c r="P45" s="44" t="s">
        <v>158</v>
      </c>
      <c r="Q45" s="44" t="s">
        <v>197</v>
      </c>
      <c r="R45" s="50">
        <v>2024</v>
      </c>
      <c r="S45" s="47" t="s">
        <v>166</v>
      </c>
      <c r="T45" s="51"/>
      <c r="U45" s="15"/>
      <c r="V45" s="15"/>
      <c r="W45" s="70"/>
      <c r="X45" s="70"/>
      <c r="Y45" s="70"/>
      <c r="Z45" s="70"/>
      <c r="AA45" s="70"/>
      <c r="AB45" s="70"/>
    </row>
    <row r="46" spans="1:28" s="16" customFormat="1" ht="15" customHeight="1">
      <c r="A46" s="13"/>
      <c r="B46" s="18" t="s">
        <v>150</v>
      </c>
      <c r="C46" s="14" t="s">
        <v>151</v>
      </c>
      <c r="D46" s="14" t="s">
        <v>294</v>
      </c>
      <c r="E46" s="44" t="s">
        <v>299</v>
      </c>
      <c r="F46" s="44">
        <v>43519184</v>
      </c>
      <c r="G46" s="44" t="s">
        <v>25</v>
      </c>
      <c r="H46" s="66">
        <v>24413</v>
      </c>
      <c r="I46" s="67">
        <f t="shared" ca="1" si="1"/>
        <v>59.583561643835615</v>
      </c>
      <c r="J46" s="111"/>
      <c r="K46" s="44">
        <v>3113450763</v>
      </c>
      <c r="L46" s="44"/>
      <c r="M46" s="44" t="s">
        <v>297</v>
      </c>
      <c r="N46" s="44" t="s">
        <v>300</v>
      </c>
      <c r="O46" s="44" t="s">
        <v>180</v>
      </c>
      <c r="P46" s="44" t="s">
        <v>165</v>
      </c>
      <c r="Q46" s="17" t="s">
        <v>230</v>
      </c>
      <c r="R46" s="50">
        <v>2024</v>
      </c>
      <c r="S46" s="47" t="s">
        <v>160</v>
      </c>
      <c r="T46" s="51"/>
      <c r="U46" s="15"/>
      <c r="V46" s="15"/>
      <c r="W46" s="70"/>
      <c r="X46" s="70"/>
      <c r="Y46" s="70"/>
      <c r="Z46" s="70"/>
      <c r="AA46" s="70"/>
      <c r="AB46" s="70"/>
    </row>
    <row r="47" spans="1:28" s="16" customFormat="1" ht="15.75" customHeight="1">
      <c r="A47" s="13"/>
      <c r="B47" s="18" t="s">
        <v>150</v>
      </c>
      <c r="C47" s="14" t="s">
        <v>151</v>
      </c>
      <c r="D47" s="14" t="s">
        <v>294</v>
      </c>
      <c r="E47" s="44" t="s">
        <v>301</v>
      </c>
      <c r="F47" s="44">
        <v>1000757412</v>
      </c>
      <c r="G47" s="44" t="s">
        <v>25</v>
      </c>
      <c r="H47" s="66">
        <v>37201</v>
      </c>
      <c r="I47" s="67">
        <f t="shared" ca="1" si="1"/>
        <v>24.547945205479451</v>
      </c>
      <c r="J47" s="18"/>
      <c r="K47" s="44">
        <v>3114190567</v>
      </c>
      <c r="L47" s="44" t="s">
        <v>302</v>
      </c>
      <c r="M47" s="44" t="s">
        <v>297</v>
      </c>
      <c r="N47" s="44" t="s">
        <v>141</v>
      </c>
      <c r="O47" s="44" t="s">
        <v>192</v>
      </c>
      <c r="P47" s="44" t="s">
        <v>165</v>
      </c>
      <c r="Q47" s="49" t="s">
        <v>159</v>
      </c>
      <c r="R47" s="50">
        <v>2024</v>
      </c>
      <c r="S47" s="47" t="s">
        <v>160</v>
      </c>
      <c r="T47" s="51"/>
      <c r="U47" s="15"/>
      <c r="V47" s="15"/>
      <c r="W47" s="70"/>
      <c r="X47" s="70"/>
      <c r="Y47" s="70"/>
      <c r="Z47" s="70"/>
      <c r="AA47" s="70"/>
      <c r="AB47" s="70"/>
    </row>
    <row r="48" spans="1:28" s="16" customFormat="1" ht="15.75" customHeight="1">
      <c r="A48" s="13"/>
      <c r="B48" s="18" t="s">
        <v>150</v>
      </c>
      <c r="C48" s="14" t="s">
        <v>151</v>
      </c>
      <c r="D48" s="14" t="s">
        <v>294</v>
      </c>
      <c r="E48" s="44" t="s">
        <v>303</v>
      </c>
      <c r="F48" s="44">
        <v>1013343508</v>
      </c>
      <c r="G48" s="44" t="s">
        <v>25</v>
      </c>
      <c r="H48" s="66">
        <v>37870</v>
      </c>
      <c r="I48" s="67">
        <f t="shared" ca="1" si="1"/>
        <v>22.715068493150685</v>
      </c>
      <c r="J48" s="18"/>
      <c r="K48" s="44">
        <v>3006085286</v>
      </c>
      <c r="L48" s="44" t="s">
        <v>304</v>
      </c>
      <c r="M48" s="44" t="s">
        <v>297</v>
      </c>
      <c r="N48" s="44" t="s">
        <v>141</v>
      </c>
      <c r="O48" s="44" t="s">
        <v>305</v>
      </c>
      <c r="P48" s="44" t="s">
        <v>158</v>
      </c>
      <c r="Q48" s="49" t="s">
        <v>159</v>
      </c>
      <c r="R48" s="50">
        <v>2024</v>
      </c>
      <c r="S48" s="47" t="s">
        <v>160</v>
      </c>
      <c r="T48" s="51"/>
      <c r="U48" s="15"/>
      <c r="V48" s="15"/>
      <c r="W48" s="70"/>
      <c r="X48" s="70"/>
      <c r="Y48" s="70"/>
      <c r="Z48" s="70"/>
      <c r="AA48" s="70"/>
      <c r="AB48" s="70"/>
    </row>
    <row r="49" spans="1:28" s="16" customFormat="1" ht="15.75" customHeight="1">
      <c r="A49" s="13"/>
      <c r="B49" s="18" t="s">
        <v>150</v>
      </c>
      <c r="C49" s="14" t="s">
        <v>151</v>
      </c>
      <c r="D49" s="14" t="s">
        <v>294</v>
      </c>
      <c r="E49" s="44" t="s">
        <v>306</v>
      </c>
      <c r="F49" s="44">
        <v>107165899</v>
      </c>
      <c r="G49" s="44" t="s">
        <v>25</v>
      </c>
      <c r="H49" s="66">
        <v>32022</v>
      </c>
      <c r="I49" s="67">
        <f t="shared" ca="1" si="1"/>
        <v>38.736986301369861</v>
      </c>
      <c r="J49" s="18"/>
      <c r="K49" s="44">
        <v>3148931981</v>
      </c>
      <c r="L49" s="44" t="s">
        <v>307</v>
      </c>
      <c r="M49" s="44" t="s">
        <v>297</v>
      </c>
      <c r="N49" s="44" t="s">
        <v>308</v>
      </c>
      <c r="O49" s="44" t="s">
        <v>305</v>
      </c>
      <c r="P49" s="44" t="s">
        <v>158</v>
      </c>
      <c r="Q49" s="17" t="s">
        <v>230</v>
      </c>
      <c r="R49" s="50">
        <v>2024</v>
      </c>
      <c r="S49" s="47" t="s">
        <v>160</v>
      </c>
      <c r="T49" s="51"/>
      <c r="U49" s="15"/>
      <c r="V49" s="15"/>
      <c r="W49" s="70"/>
      <c r="X49" s="70"/>
      <c r="Y49" s="70"/>
      <c r="Z49" s="70"/>
      <c r="AA49" s="70"/>
      <c r="AB49" s="70"/>
    </row>
    <row r="50" spans="1:28" s="16" customFormat="1" ht="15.75" customHeight="1">
      <c r="A50" s="13"/>
      <c r="B50" s="18" t="s">
        <v>150</v>
      </c>
      <c r="C50" s="14" t="s">
        <v>151</v>
      </c>
      <c r="D50" s="14" t="s">
        <v>294</v>
      </c>
      <c r="E50" s="44" t="s">
        <v>309</v>
      </c>
      <c r="F50" s="44">
        <v>1214731227</v>
      </c>
      <c r="G50" s="44" t="s">
        <v>25</v>
      </c>
      <c r="H50" s="66">
        <v>34977</v>
      </c>
      <c r="I50" s="67">
        <f t="shared" ca="1" si="1"/>
        <v>30.641095890410959</v>
      </c>
      <c r="J50" s="18"/>
      <c r="K50" s="44">
        <v>3205113458</v>
      </c>
      <c r="L50" s="44" t="s">
        <v>310</v>
      </c>
      <c r="M50" s="44" t="s">
        <v>297</v>
      </c>
      <c r="N50" s="44" t="s">
        <v>311</v>
      </c>
      <c r="O50" s="44" t="s">
        <v>312</v>
      </c>
      <c r="P50" s="44" t="s">
        <v>158</v>
      </c>
      <c r="Q50" s="49" t="s">
        <v>159</v>
      </c>
      <c r="R50" s="50">
        <v>2024</v>
      </c>
      <c r="S50" s="47" t="s">
        <v>160</v>
      </c>
      <c r="T50" s="51"/>
      <c r="U50" s="15"/>
      <c r="V50" s="15"/>
      <c r="W50" s="70"/>
      <c r="X50" s="70"/>
      <c r="Y50" s="70"/>
      <c r="Z50" s="70"/>
      <c r="AA50" s="70"/>
      <c r="AB50" s="70"/>
    </row>
    <row r="51" spans="1:28" s="16" customFormat="1" ht="15.75" customHeight="1">
      <c r="A51" s="86"/>
      <c r="B51" s="87" t="s">
        <v>150</v>
      </c>
      <c r="C51" s="88" t="s">
        <v>151</v>
      </c>
      <c r="D51" s="88" t="s">
        <v>313</v>
      </c>
      <c r="E51" s="93" t="s">
        <v>314</v>
      </c>
      <c r="F51" s="93">
        <v>43632694</v>
      </c>
      <c r="G51" s="93" t="s">
        <v>25</v>
      </c>
      <c r="H51" s="90">
        <v>27779</v>
      </c>
      <c r="I51" s="91">
        <f t="shared" ca="1" si="1"/>
        <v>50.361643835616441</v>
      </c>
      <c r="J51" s="87" t="s">
        <v>56</v>
      </c>
      <c r="K51" s="93">
        <v>3104651084</v>
      </c>
      <c r="L51" s="112" t="s">
        <v>315</v>
      </c>
      <c r="M51" s="93" t="s">
        <v>313</v>
      </c>
      <c r="N51" s="93" t="s">
        <v>311</v>
      </c>
      <c r="O51" s="93" t="s">
        <v>316</v>
      </c>
      <c r="P51" s="93" t="s">
        <v>165</v>
      </c>
      <c r="Q51" s="99" t="s">
        <v>159</v>
      </c>
      <c r="R51" s="94">
        <v>2024</v>
      </c>
      <c r="S51" s="106" t="s">
        <v>166</v>
      </c>
      <c r="T51" s="96"/>
      <c r="U51" s="97" t="s">
        <v>210</v>
      </c>
      <c r="V51" s="97"/>
      <c r="W51" s="98"/>
      <c r="X51" s="98"/>
      <c r="Y51" s="98"/>
      <c r="Z51" s="98"/>
      <c r="AA51" s="98"/>
      <c r="AB51" s="98"/>
    </row>
    <row r="52" spans="1:28" s="16" customFormat="1" ht="15.75" customHeight="1">
      <c r="A52" s="13"/>
      <c r="B52" s="18" t="s">
        <v>150</v>
      </c>
      <c r="C52" s="14" t="s">
        <v>151</v>
      </c>
      <c r="D52" s="14" t="s">
        <v>313</v>
      </c>
      <c r="E52" s="44" t="s">
        <v>317</v>
      </c>
      <c r="F52" s="44">
        <v>1032012958</v>
      </c>
      <c r="G52" s="44" t="s">
        <v>25</v>
      </c>
      <c r="H52" s="66">
        <v>39153</v>
      </c>
      <c r="I52" s="67">
        <f t="shared" ca="1" si="1"/>
        <v>19.2</v>
      </c>
      <c r="J52" s="18"/>
      <c r="K52" s="44">
        <v>3242626585</v>
      </c>
      <c r="L52" s="44" t="s">
        <v>318</v>
      </c>
      <c r="M52" s="44" t="s">
        <v>313</v>
      </c>
      <c r="N52" s="44" t="s">
        <v>59</v>
      </c>
      <c r="O52" s="44" t="s">
        <v>192</v>
      </c>
      <c r="P52" s="44" t="s">
        <v>165</v>
      </c>
      <c r="Q52" s="44" t="s">
        <v>193</v>
      </c>
      <c r="R52" s="50">
        <v>2024</v>
      </c>
      <c r="S52" s="47" t="s">
        <v>160</v>
      </c>
      <c r="T52" s="51"/>
      <c r="U52" s="15"/>
      <c r="V52" s="15"/>
      <c r="W52" s="70"/>
      <c r="X52" s="70"/>
      <c r="Y52" s="70"/>
      <c r="Z52" s="70"/>
      <c r="AA52" s="70"/>
      <c r="AB52" s="70"/>
    </row>
    <row r="53" spans="1:28" s="16" customFormat="1" ht="15.75" customHeight="1">
      <c r="A53" s="86"/>
      <c r="B53" s="87" t="s">
        <v>150</v>
      </c>
      <c r="C53" s="88" t="s">
        <v>151</v>
      </c>
      <c r="D53" s="88" t="s">
        <v>313</v>
      </c>
      <c r="E53" s="93" t="s">
        <v>319</v>
      </c>
      <c r="F53" s="93">
        <v>1011394487</v>
      </c>
      <c r="G53" s="93" t="s">
        <v>28</v>
      </c>
      <c r="H53" s="90">
        <v>38832</v>
      </c>
      <c r="I53" s="91">
        <f t="shared" ca="1" si="1"/>
        <v>20.079452054794519</v>
      </c>
      <c r="J53" s="87" t="s">
        <v>114</v>
      </c>
      <c r="K53" s="93">
        <v>3002365103</v>
      </c>
      <c r="L53" s="93" t="s">
        <v>320</v>
      </c>
      <c r="M53" s="93" t="s">
        <v>313</v>
      </c>
      <c r="N53" s="93" t="s">
        <v>141</v>
      </c>
      <c r="O53" s="93" t="s">
        <v>321</v>
      </c>
      <c r="P53" s="93" t="s">
        <v>165</v>
      </c>
      <c r="Q53" s="89" t="s">
        <v>218</v>
      </c>
      <c r="R53" s="94">
        <v>2024</v>
      </c>
      <c r="S53" s="106" t="s">
        <v>160</v>
      </c>
      <c r="T53" s="96"/>
      <c r="U53" s="97" t="s">
        <v>210</v>
      </c>
      <c r="V53" s="97"/>
      <c r="W53" s="98"/>
      <c r="X53" s="98"/>
      <c r="Y53" s="98"/>
      <c r="Z53" s="98"/>
      <c r="AA53" s="98"/>
      <c r="AB53" s="98"/>
    </row>
    <row r="54" spans="1:28" s="16" customFormat="1" ht="15.75" customHeight="1">
      <c r="A54" s="13"/>
      <c r="B54" s="18" t="s">
        <v>150</v>
      </c>
      <c r="C54" s="14" t="s">
        <v>151</v>
      </c>
      <c r="D54" s="14" t="s">
        <v>313</v>
      </c>
      <c r="E54" s="44" t="s">
        <v>322</v>
      </c>
      <c r="F54" s="44">
        <v>1048045686</v>
      </c>
      <c r="G54" s="44" t="s">
        <v>25</v>
      </c>
      <c r="H54" s="66">
        <v>33692</v>
      </c>
      <c r="I54" s="67">
        <f t="shared" ca="1" si="1"/>
        <v>34.161643835616438</v>
      </c>
      <c r="J54" s="18"/>
      <c r="K54" s="44">
        <v>3245073998</v>
      </c>
      <c r="L54" s="44" t="s">
        <v>323</v>
      </c>
      <c r="M54" s="44" t="s">
        <v>313</v>
      </c>
      <c r="N54" s="44" t="s">
        <v>132</v>
      </c>
      <c r="O54" s="44" t="s">
        <v>180</v>
      </c>
      <c r="P54" s="44" t="s">
        <v>165</v>
      </c>
      <c r="Q54" s="44" t="s">
        <v>197</v>
      </c>
      <c r="R54" s="50">
        <v>2024</v>
      </c>
      <c r="S54" s="47" t="s">
        <v>160</v>
      </c>
      <c r="T54" s="51"/>
      <c r="U54" s="15"/>
      <c r="V54" s="15"/>
      <c r="W54" s="70"/>
      <c r="X54" s="70"/>
      <c r="Y54" s="70"/>
      <c r="Z54" s="70"/>
      <c r="AA54" s="70"/>
      <c r="AB54" s="70"/>
    </row>
    <row r="55" spans="1:28" s="16" customFormat="1" ht="15.75" customHeight="1">
      <c r="A55" s="86"/>
      <c r="B55" s="87" t="s">
        <v>150</v>
      </c>
      <c r="C55" s="88" t="s">
        <v>151</v>
      </c>
      <c r="D55" s="88" t="s">
        <v>313</v>
      </c>
      <c r="E55" s="93" t="s">
        <v>324</v>
      </c>
      <c r="F55" s="93">
        <v>1013343723</v>
      </c>
      <c r="G55" s="93" t="s">
        <v>28</v>
      </c>
      <c r="H55" s="90">
        <v>38728</v>
      </c>
      <c r="I55" s="91">
        <f t="shared" ca="1" si="1"/>
        <v>20.364383561643837</v>
      </c>
      <c r="J55" s="87" t="s">
        <v>56</v>
      </c>
      <c r="K55" s="93">
        <v>3019501231</v>
      </c>
      <c r="L55" s="93" t="s">
        <v>325</v>
      </c>
      <c r="M55" s="93" t="s">
        <v>313</v>
      </c>
      <c r="N55" s="93" t="s">
        <v>141</v>
      </c>
      <c r="O55" s="93" t="s">
        <v>192</v>
      </c>
      <c r="P55" s="93" t="s">
        <v>165</v>
      </c>
      <c r="Q55" s="89" t="s">
        <v>218</v>
      </c>
      <c r="R55" s="94">
        <v>2024</v>
      </c>
      <c r="S55" s="106" t="s">
        <v>160</v>
      </c>
      <c r="T55" s="96"/>
      <c r="U55" s="97" t="s">
        <v>210</v>
      </c>
      <c r="V55" s="97"/>
      <c r="W55" s="98"/>
      <c r="X55" s="98"/>
      <c r="Y55" s="98"/>
      <c r="Z55" s="98"/>
      <c r="AA55" s="98"/>
      <c r="AB55" s="98"/>
    </row>
    <row r="56" spans="1:28" s="16" customFormat="1" ht="15.75" customHeight="1">
      <c r="A56" s="113"/>
      <c r="B56" s="114" t="s">
        <v>150</v>
      </c>
      <c r="C56" s="115" t="s">
        <v>151</v>
      </c>
      <c r="D56" s="115" t="s">
        <v>313</v>
      </c>
      <c r="E56" s="116" t="s">
        <v>326</v>
      </c>
      <c r="F56" s="116">
        <v>1214715068</v>
      </c>
      <c r="G56" s="116" t="s">
        <v>28</v>
      </c>
      <c r="H56" s="117">
        <v>33622</v>
      </c>
      <c r="I56" s="118">
        <f t="shared" ca="1" si="1"/>
        <v>34.353424657534248</v>
      </c>
      <c r="J56" s="114"/>
      <c r="K56" s="116">
        <v>3017434359</v>
      </c>
      <c r="L56" s="116" t="s">
        <v>327</v>
      </c>
      <c r="M56" s="116" t="s">
        <v>313</v>
      </c>
      <c r="N56" s="116" t="s">
        <v>308</v>
      </c>
      <c r="O56" s="116" t="s">
        <v>321</v>
      </c>
      <c r="P56" s="116" t="s">
        <v>165</v>
      </c>
      <c r="Q56" s="119" t="s">
        <v>230</v>
      </c>
      <c r="R56" s="120">
        <v>2024</v>
      </c>
      <c r="S56" s="121" t="s">
        <v>160</v>
      </c>
      <c r="T56" s="122"/>
      <c r="U56" s="123" t="s">
        <v>328</v>
      </c>
      <c r="V56" s="123"/>
      <c r="W56" s="124"/>
      <c r="X56" s="124"/>
      <c r="Y56" s="124"/>
      <c r="Z56" s="124"/>
      <c r="AA56" s="124"/>
      <c r="AB56" s="124"/>
    </row>
    <row r="57" spans="1:28" s="16" customFormat="1" ht="15.75" customHeight="1">
      <c r="A57" s="13"/>
      <c r="B57" s="18" t="s">
        <v>150</v>
      </c>
      <c r="C57" s="14" t="s">
        <v>151</v>
      </c>
      <c r="D57" s="14" t="s">
        <v>329</v>
      </c>
      <c r="E57" s="44" t="s">
        <v>330</v>
      </c>
      <c r="F57" s="44">
        <v>1017188402</v>
      </c>
      <c r="G57" s="44" t="s">
        <v>28</v>
      </c>
      <c r="H57" s="66">
        <v>33294</v>
      </c>
      <c r="I57" s="67">
        <f t="shared" ca="1" si="1"/>
        <v>35.252054794520546</v>
      </c>
      <c r="J57" s="18"/>
      <c r="K57" s="44">
        <v>3145809957</v>
      </c>
      <c r="L57" s="110" t="s">
        <v>331</v>
      </c>
      <c r="M57" s="44" t="s">
        <v>332</v>
      </c>
      <c r="N57" s="44" t="s">
        <v>141</v>
      </c>
      <c r="O57" s="44" t="s">
        <v>333</v>
      </c>
      <c r="P57" s="44"/>
      <c r="Q57" s="49" t="s">
        <v>159</v>
      </c>
      <c r="R57" s="50">
        <v>2024</v>
      </c>
      <c r="S57" s="47" t="s">
        <v>166</v>
      </c>
      <c r="T57" s="51"/>
      <c r="U57" s="15"/>
      <c r="V57" s="15"/>
      <c r="W57" s="70"/>
      <c r="X57" s="70"/>
      <c r="Y57" s="70"/>
      <c r="Z57" s="70"/>
      <c r="AA57" s="70"/>
      <c r="AB57" s="70"/>
    </row>
    <row r="58" spans="1:28" s="16" customFormat="1" ht="15.75" customHeight="1">
      <c r="A58" s="13"/>
      <c r="B58" s="18" t="s">
        <v>150</v>
      </c>
      <c r="C58" s="14" t="s">
        <v>151</v>
      </c>
      <c r="D58" s="14" t="s">
        <v>329</v>
      </c>
      <c r="E58" s="44" t="s">
        <v>334</v>
      </c>
      <c r="F58" s="44">
        <v>1017160889</v>
      </c>
      <c r="G58" s="44" t="s">
        <v>25</v>
      </c>
      <c r="H58" s="66">
        <v>32298</v>
      </c>
      <c r="I58" s="67">
        <f t="shared" ca="1" si="1"/>
        <v>37.980821917808221</v>
      </c>
      <c r="J58" s="18"/>
      <c r="K58" s="44">
        <v>3225980580</v>
      </c>
      <c r="L58" s="110" t="s">
        <v>335</v>
      </c>
      <c r="M58" s="44" t="s">
        <v>332</v>
      </c>
      <c r="N58" s="44" t="s">
        <v>141</v>
      </c>
      <c r="O58" s="44" t="s">
        <v>180</v>
      </c>
      <c r="P58" s="44"/>
      <c r="Q58" s="49" t="s">
        <v>159</v>
      </c>
      <c r="R58" s="50">
        <v>2024</v>
      </c>
      <c r="S58" s="47" t="s">
        <v>160</v>
      </c>
      <c r="T58" s="51"/>
      <c r="U58" s="15"/>
      <c r="V58" s="15"/>
      <c r="W58" s="70"/>
      <c r="X58" s="70"/>
      <c r="Y58" s="70"/>
      <c r="Z58" s="70"/>
      <c r="AA58" s="70"/>
      <c r="AB58" s="70"/>
    </row>
    <row r="59" spans="1:28" s="16" customFormat="1" ht="15.75" customHeight="1">
      <c r="A59" s="86"/>
      <c r="B59" s="87" t="s">
        <v>150</v>
      </c>
      <c r="C59" s="88" t="s">
        <v>151</v>
      </c>
      <c r="D59" s="88" t="s">
        <v>329</v>
      </c>
      <c r="E59" s="93" t="s">
        <v>336</v>
      </c>
      <c r="F59" s="93">
        <v>1000397007</v>
      </c>
      <c r="G59" s="93" t="s">
        <v>25</v>
      </c>
      <c r="H59" s="90">
        <v>36698</v>
      </c>
      <c r="I59" s="91">
        <f t="shared" ca="1" si="1"/>
        <v>25.926027397260274</v>
      </c>
      <c r="J59" s="87" t="s">
        <v>56</v>
      </c>
      <c r="K59" s="93">
        <v>3128771028</v>
      </c>
      <c r="L59" s="109" t="s">
        <v>337</v>
      </c>
      <c r="M59" s="93" t="s">
        <v>332</v>
      </c>
      <c r="N59" s="93" t="s">
        <v>141</v>
      </c>
      <c r="O59" s="93" t="s">
        <v>316</v>
      </c>
      <c r="P59" s="93"/>
      <c r="Q59" s="99" t="s">
        <v>159</v>
      </c>
      <c r="R59" s="94">
        <v>2024</v>
      </c>
      <c r="S59" s="106" t="s">
        <v>160</v>
      </c>
      <c r="T59" s="96"/>
      <c r="U59" s="97" t="s">
        <v>210</v>
      </c>
      <c r="V59" s="97"/>
      <c r="W59" s="98"/>
      <c r="X59" s="98"/>
      <c r="Y59" s="98"/>
      <c r="Z59" s="98"/>
      <c r="AA59" s="98"/>
      <c r="AB59" s="98"/>
    </row>
    <row r="60" spans="1:28" s="16" customFormat="1" ht="15.75" customHeight="1">
      <c r="A60" s="13"/>
      <c r="B60" s="18" t="s">
        <v>150</v>
      </c>
      <c r="C60" s="14" t="s">
        <v>151</v>
      </c>
      <c r="D60" s="14" t="s">
        <v>329</v>
      </c>
      <c r="E60" s="44" t="s">
        <v>338</v>
      </c>
      <c r="F60" s="44">
        <v>1036617599</v>
      </c>
      <c r="G60" s="44" t="s">
        <v>28</v>
      </c>
      <c r="H60" s="66">
        <v>31548</v>
      </c>
      <c r="I60" s="67">
        <f t="shared" ca="1" si="1"/>
        <v>40.035616438356165</v>
      </c>
      <c r="J60" s="18"/>
      <c r="K60" s="44">
        <v>3246363573</v>
      </c>
      <c r="L60" s="110" t="s">
        <v>339</v>
      </c>
      <c r="M60" s="44" t="s">
        <v>332</v>
      </c>
      <c r="N60" s="44" t="s">
        <v>141</v>
      </c>
      <c r="O60" s="44" t="s">
        <v>340</v>
      </c>
      <c r="P60" s="44"/>
      <c r="Q60" s="44"/>
      <c r="R60" s="50">
        <v>2024</v>
      </c>
      <c r="S60" s="47" t="s">
        <v>160</v>
      </c>
      <c r="T60" s="51"/>
      <c r="U60" s="15"/>
      <c r="V60" s="15"/>
      <c r="W60" s="70"/>
      <c r="X60" s="70"/>
      <c r="Y60" s="70"/>
      <c r="Z60" s="70"/>
      <c r="AA60" s="70"/>
      <c r="AB60" s="70"/>
    </row>
    <row r="61" spans="1:28" s="16" customFormat="1" ht="15.75" customHeight="1">
      <c r="A61" s="86"/>
      <c r="B61" s="87" t="s">
        <v>150</v>
      </c>
      <c r="C61" s="88" t="s">
        <v>151</v>
      </c>
      <c r="D61" s="88" t="s">
        <v>329</v>
      </c>
      <c r="E61" s="93" t="s">
        <v>341</v>
      </c>
      <c r="F61" s="93">
        <v>43802336</v>
      </c>
      <c r="G61" s="104" t="s">
        <v>25</v>
      </c>
      <c r="H61" s="90">
        <v>25301</v>
      </c>
      <c r="I61" s="91">
        <f t="shared" ca="1" si="1"/>
        <v>57.150684931506852</v>
      </c>
      <c r="J61" s="87" t="s">
        <v>56</v>
      </c>
      <c r="K61" s="93">
        <v>3044537698</v>
      </c>
      <c r="L61" s="93" t="s">
        <v>342</v>
      </c>
      <c r="M61" s="93" t="s">
        <v>332</v>
      </c>
      <c r="N61" s="93" t="s">
        <v>59</v>
      </c>
      <c r="O61" s="93" t="s">
        <v>164</v>
      </c>
      <c r="P61" s="93" t="s">
        <v>165</v>
      </c>
      <c r="Q61" s="99" t="s">
        <v>159</v>
      </c>
      <c r="R61" s="94">
        <v>2024</v>
      </c>
      <c r="S61" s="106" t="s">
        <v>160</v>
      </c>
      <c r="T61" s="96"/>
      <c r="U61" s="97" t="s">
        <v>210</v>
      </c>
      <c r="V61" s="97"/>
      <c r="W61" s="98"/>
      <c r="X61" s="98"/>
      <c r="Y61" s="98"/>
      <c r="Z61" s="98"/>
      <c r="AA61" s="98"/>
      <c r="AB61" s="98"/>
    </row>
    <row r="62" spans="1:28" s="16" customFormat="1" ht="15.75" customHeight="1">
      <c r="A62" s="86"/>
      <c r="B62" s="87" t="s">
        <v>150</v>
      </c>
      <c r="C62" s="88" t="s">
        <v>151</v>
      </c>
      <c r="D62" s="88" t="s">
        <v>329</v>
      </c>
      <c r="E62" s="93" t="s">
        <v>343</v>
      </c>
      <c r="F62" s="93">
        <v>43525258</v>
      </c>
      <c r="G62" s="93" t="s">
        <v>25</v>
      </c>
      <c r="H62" s="90">
        <v>24683</v>
      </c>
      <c r="I62" s="91">
        <f t="shared" ca="1" si="1"/>
        <v>58.843835616438355</v>
      </c>
      <c r="J62" s="87" t="s">
        <v>73</v>
      </c>
      <c r="K62" s="93">
        <v>3103640816</v>
      </c>
      <c r="L62" s="109" t="s">
        <v>344</v>
      </c>
      <c r="M62" s="93" t="s">
        <v>332</v>
      </c>
      <c r="N62" s="93" t="s">
        <v>141</v>
      </c>
      <c r="O62" s="93" t="s">
        <v>345</v>
      </c>
      <c r="P62" s="93" t="s">
        <v>158</v>
      </c>
      <c r="Q62" s="93" t="s">
        <v>193</v>
      </c>
      <c r="R62" s="94">
        <v>2024</v>
      </c>
      <c r="S62" s="106" t="s">
        <v>160</v>
      </c>
      <c r="T62" s="96"/>
      <c r="U62" s="97" t="s">
        <v>210</v>
      </c>
      <c r="V62" s="97"/>
      <c r="W62" s="98"/>
      <c r="X62" s="98"/>
      <c r="Y62" s="98"/>
      <c r="Z62" s="98"/>
      <c r="AA62" s="98"/>
      <c r="AB62" s="98"/>
    </row>
    <row r="63" spans="1:28" s="16" customFormat="1" ht="15.75" customHeight="1">
      <c r="A63" s="86"/>
      <c r="B63" s="87" t="s">
        <v>150</v>
      </c>
      <c r="C63" s="88" t="s">
        <v>151</v>
      </c>
      <c r="D63" s="88" t="s">
        <v>346</v>
      </c>
      <c r="E63" s="93" t="s">
        <v>347</v>
      </c>
      <c r="F63" s="93">
        <v>1193556317</v>
      </c>
      <c r="G63" s="93" t="s">
        <v>25</v>
      </c>
      <c r="H63" s="90">
        <v>37533</v>
      </c>
      <c r="I63" s="91">
        <f t="shared" ca="1" si="1"/>
        <v>23.638356164383563</v>
      </c>
      <c r="J63" s="87" t="s">
        <v>212</v>
      </c>
      <c r="K63" s="93">
        <v>3128652070</v>
      </c>
      <c r="L63" s="93" t="s">
        <v>348</v>
      </c>
      <c r="M63" s="88" t="s">
        <v>346</v>
      </c>
      <c r="N63" s="93" t="s">
        <v>141</v>
      </c>
      <c r="O63" s="93" t="s">
        <v>305</v>
      </c>
      <c r="P63" s="93" t="s">
        <v>165</v>
      </c>
      <c r="Q63" s="89" t="s">
        <v>230</v>
      </c>
      <c r="R63" s="94">
        <v>2024</v>
      </c>
      <c r="S63" s="106" t="s">
        <v>160</v>
      </c>
      <c r="T63" s="96"/>
      <c r="U63" s="97" t="s">
        <v>210</v>
      </c>
      <c r="V63" s="97"/>
      <c r="W63" s="98"/>
      <c r="X63" s="98"/>
      <c r="Y63" s="98"/>
      <c r="Z63" s="98"/>
      <c r="AA63" s="98"/>
      <c r="AB63" s="98"/>
    </row>
    <row r="64" spans="1:28" s="16" customFormat="1" ht="15.75" customHeight="1">
      <c r="A64" s="13"/>
      <c r="B64" s="18" t="s">
        <v>150</v>
      </c>
      <c r="C64" s="14" t="s">
        <v>151</v>
      </c>
      <c r="D64" s="14" t="s">
        <v>346</v>
      </c>
      <c r="E64" s="44" t="s">
        <v>349</v>
      </c>
      <c r="F64" s="44">
        <v>32355865</v>
      </c>
      <c r="G64" s="44" t="s">
        <v>25</v>
      </c>
      <c r="H64" s="66">
        <v>30000</v>
      </c>
      <c r="I64" s="67">
        <f t="shared" ca="1" si="1"/>
        <v>44.276712328767125</v>
      </c>
      <c r="J64" s="18"/>
      <c r="K64" s="44">
        <v>3001987261</v>
      </c>
      <c r="L64" s="44" t="s">
        <v>350</v>
      </c>
      <c r="M64" s="14" t="s">
        <v>346</v>
      </c>
      <c r="N64" s="44" t="s">
        <v>136</v>
      </c>
      <c r="O64" s="44" t="s">
        <v>340</v>
      </c>
      <c r="P64" s="44"/>
      <c r="Q64" s="44"/>
      <c r="R64" s="50">
        <v>2024</v>
      </c>
      <c r="S64" s="47"/>
      <c r="T64" s="51"/>
      <c r="U64" s="15"/>
      <c r="V64" s="15"/>
      <c r="W64" s="70"/>
      <c r="X64" s="70"/>
      <c r="Y64" s="70"/>
      <c r="Z64" s="70"/>
      <c r="AA64" s="70"/>
      <c r="AB64" s="70"/>
    </row>
    <row r="65" spans="1:28" s="16" customFormat="1" ht="15.75" customHeight="1">
      <c r="A65" s="13"/>
      <c r="B65" s="18" t="s">
        <v>150</v>
      </c>
      <c r="C65" s="14" t="s">
        <v>151</v>
      </c>
      <c r="D65" s="14" t="s">
        <v>346</v>
      </c>
      <c r="E65" s="44" t="s">
        <v>351</v>
      </c>
      <c r="F65" s="44">
        <v>44007720</v>
      </c>
      <c r="G65" s="44" t="s">
        <v>25</v>
      </c>
      <c r="H65" s="66">
        <v>31016</v>
      </c>
      <c r="I65" s="67">
        <f t="shared" ca="1" si="1"/>
        <v>41.493150684931507</v>
      </c>
      <c r="J65" s="18"/>
      <c r="K65" s="44">
        <v>3002134850</v>
      </c>
      <c r="L65" s="44"/>
      <c r="M65" s="14" t="s">
        <v>346</v>
      </c>
      <c r="N65" s="44" t="s">
        <v>136</v>
      </c>
      <c r="O65" s="44" t="s">
        <v>340</v>
      </c>
      <c r="P65" s="44"/>
      <c r="Q65" s="17" t="s">
        <v>230</v>
      </c>
      <c r="R65" s="50">
        <v>2024</v>
      </c>
      <c r="S65" s="47"/>
      <c r="T65" s="51"/>
      <c r="U65" s="15"/>
      <c r="V65" s="15"/>
      <c r="W65" s="70"/>
      <c r="X65" s="70"/>
      <c r="Y65" s="70"/>
      <c r="Z65" s="70"/>
      <c r="AA65" s="70"/>
      <c r="AB65" s="70"/>
    </row>
    <row r="66" spans="1:28" s="16" customFormat="1" ht="15.75" customHeight="1">
      <c r="A66" s="13"/>
      <c r="B66" s="18" t="s">
        <v>150</v>
      </c>
      <c r="C66" s="14" t="s">
        <v>151</v>
      </c>
      <c r="D66" s="14" t="s">
        <v>346</v>
      </c>
      <c r="E66" s="44" t="s">
        <v>352</v>
      </c>
      <c r="F66" s="44">
        <v>1054916859</v>
      </c>
      <c r="G66" s="44" t="s">
        <v>25</v>
      </c>
      <c r="H66" s="66">
        <v>33079</v>
      </c>
      <c r="I66" s="67">
        <f t="shared" ca="1" si="1"/>
        <v>35.841095890410962</v>
      </c>
      <c r="J66" s="18" t="s">
        <v>56</v>
      </c>
      <c r="K66" s="44">
        <v>3246458449</v>
      </c>
      <c r="L66" s="44"/>
      <c r="M66" s="14" t="s">
        <v>346</v>
      </c>
      <c r="N66" s="44" t="s">
        <v>141</v>
      </c>
      <c r="O66" s="44" t="s">
        <v>340</v>
      </c>
      <c r="P66" s="44"/>
      <c r="Q66" s="44" t="s">
        <v>193</v>
      </c>
      <c r="R66" s="50">
        <v>2024</v>
      </c>
      <c r="S66" s="47"/>
      <c r="T66" s="51"/>
      <c r="U66" s="15"/>
      <c r="V66" s="15"/>
      <c r="W66" s="70"/>
      <c r="X66" s="70"/>
      <c r="Y66" s="70"/>
      <c r="Z66" s="70"/>
      <c r="AA66" s="70"/>
      <c r="AB66" s="70"/>
    </row>
    <row r="67" spans="1:28" s="16" customFormat="1" ht="15.75" customHeight="1">
      <c r="A67" s="13"/>
      <c r="B67" s="18" t="s">
        <v>150</v>
      </c>
      <c r="C67" s="14" t="s">
        <v>151</v>
      </c>
      <c r="D67" s="14" t="s">
        <v>346</v>
      </c>
      <c r="E67" s="44" t="s">
        <v>353</v>
      </c>
      <c r="F67" s="44">
        <v>1128432619</v>
      </c>
      <c r="G67" s="44" t="s">
        <v>25</v>
      </c>
      <c r="H67" s="66">
        <v>32946</v>
      </c>
      <c r="I67" s="67">
        <f t="shared" ca="1" si="1"/>
        <v>36.205479452054796</v>
      </c>
      <c r="J67" s="18"/>
      <c r="K67" s="44">
        <v>3122901861</v>
      </c>
      <c r="L67" s="44" t="s">
        <v>354</v>
      </c>
      <c r="M67" s="14" t="s">
        <v>346</v>
      </c>
      <c r="N67" s="44" t="s">
        <v>186</v>
      </c>
      <c r="O67" s="44" t="s">
        <v>355</v>
      </c>
      <c r="P67" s="44"/>
      <c r="Q67" s="44" t="s">
        <v>193</v>
      </c>
      <c r="R67" s="50">
        <v>2024</v>
      </c>
      <c r="S67" s="47"/>
      <c r="T67" s="51"/>
      <c r="U67" s="15"/>
      <c r="V67" s="15"/>
      <c r="W67" s="70"/>
      <c r="X67" s="70"/>
      <c r="Y67" s="70"/>
      <c r="Z67" s="70"/>
      <c r="AA67" s="70"/>
      <c r="AB67" s="70"/>
    </row>
    <row r="68" spans="1:28" s="16" customFormat="1" ht="15.75" customHeight="1">
      <c r="A68" s="13"/>
      <c r="B68" s="18" t="s">
        <v>150</v>
      </c>
      <c r="C68" s="14" t="s">
        <v>151</v>
      </c>
      <c r="D68" s="14" t="s">
        <v>346</v>
      </c>
      <c r="E68" s="44" t="s">
        <v>356</v>
      </c>
      <c r="F68" s="44">
        <v>71724234</v>
      </c>
      <c r="G68" s="44" t="s">
        <v>28</v>
      </c>
      <c r="H68" s="66">
        <v>26126</v>
      </c>
      <c r="I68" s="67">
        <f t="shared" ca="1" si="1"/>
        <v>54.890410958904113</v>
      </c>
      <c r="J68" s="18"/>
      <c r="K68" s="44">
        <v>3233784227</v>
      </c>
      <c r="L68" s="44"/>
      <c r="M68" s="14" t="s">
        <v>346</v>
      </c>
      <c r="N68" s="44" t="s">
        <v>141</v>
      </c>
      <c r="O68" s="44" t="s">
        <v>357</v>
      </c>
      <c r="P68" s="44" t="s">
        <v>165</v>
      </c>
      <c r="Q68" s="44" t="s">
        <v>197</v>
      </c>
      <c r="R68" s="50">
        <v>2024</v>
      </c>
      <c r="S68" s="47"/>
      <c r="T68" s="51"/>
      <c r="U68" s="15"/>
      <c r="V68" s="15"/>
      <c r="W68" s="70"/>
      <c r="X68" s="70"/>
      <c r="Y68" s="70"/>
      <c r="Z68" s="70"/>
      <c r="AA68" s="70"/>
      <c r="AB68" s="70"/>
    </row>
    <row r="69" spans="1:28" s="16" customFormat="1" ht="15.75" customHeight="1">
      <c r="A69" s="13"/>
      <c r="B69" s="18" t="s">
        <v>225</v>
      </c>
      <c r="C69" s="14" t="s">
        <v>358</v>
      </c>
      <c r="D69" s="14" t="s">
        <v>346</v>
      </c>
      <c r="E69" s="44" t="s">
        <v>359</v>
      </c>
      <c r="F69" s="44">
        <v>24791722</v>
      </c>
      <c r="G69" s="44" t="s">
        <v>25</v>
      </c>
      <c r="H69" s="66"/>
      <c r="I69" s="67"/>
      <c r="J69" s="18" t="s">
        <v>73</v>
      </c>
      <c r="K69" s="44">
        <v>3246880235</v>
      </c>
      <c r="L69" s="44"/>
      <c r="M69" s="125"/>
      <c r="N69" s="44"/>
      <c r="O69" s="44"/>
      <c r="P69" s="44"/>
      <c r="Q69" s="44"/>
      <c r="R69" s="50"/>
      <c r="S69" s="47"/>
      <c r="T69" s="51"/>
      <c r="U69" s="15" t="s">
        <v>210</v>
      </c>
      <c r="V69" s="15"/>
      <c r="W69" s="70"/>
      <c r="X69" s="70"/>
      <c r="Y69" s="70"/>
      <c r="Z69" s="70"/>
      <c r="AA69" s="70"/>
      <c r="AB69" s="70"/>
    </row>
    <row r="70" spans="1:28" s="16" customFormat="1" ht="15.75" customHeight="1">
      <c r="A70" s="13"/>
      <c r="B70" s="18" t="s">
        <v>150</v>
      </c>
      <c r="C70" s="14" t="s">
        <v>151</v>
      </c>
      <c r="D70" s="14" t="s">
        <v>360</v>
      </c>
      <c r="E70" s="44" t="s">
        <v>361</v>
      </c>
      <c r="F70" s="44">
        <v>1017923858</v>
      </c>
      <c r="G70" s="44" t="s">
        <v>25</v>
      </c>
      <c r="H70" s="66">
        <v>38441</v>
      </c>
      <c r="I70" s="67">
        <f t="shared" ref="I70:I72" ca="1" si="2">(TODAY()-H70)/365</f>
        <v>21.150684931506849</v>
      </c>
      <c r="J70" s="18"/>
      <c r="K70" s="44">
        <v>3006755777</v>
      </c>
      <c r="L70" s="44" t="s">
        <v>362</v>
      </c>
      <c r="M70" s="44" t="s">
        <v>363</v>
      </c>
      <c r="N70" s="44" t="s">
        <v>186</v>
      </c>
      <c r="O70" s="44" t="s">
        <v>180</v>
      </c>
      <c r="P70" s="44" t="s">
        <v>165</v>
      </c>
      <c r="Q70" s="17" t="s">
        <v>230</v>
      </c>
      <c r="R70" s="50">
        <v>2024</v>
      </c>
      <c r="S70" s="47" t="s">
        <v>160</v>
      </c>
      <c r="T70" s="51"/>
      <c r="U70" s="15"/>
      <c r="V70" s="15"/>
      <c r="W70" s="70"/>
      <c r="X70" s="70"/>
      <c r="Y70" s="70"/>
      <c r="Z70" s="70"/>
      <c r="AA70" s="70"/>
      <c r="AB70" s="70"/>
    </row>
    <row r="71" spans="1:28" s="16" customFormat="1" ht="15.75" customHeight="1">
      <c r="A71" s="86"/>
      <c r="B71" s="87" t="s">
        <v>150</v>
      </c>
      <c r="C71" s="88" t="s">
        <v>151</v>
      </c>
      <c r="D71" s="88" t="s">
        <v>360</v>
      </c>
      <c r="E71" s="93" t="s">
        <v>364</v>
      </c>
      <c r="F71" s="93">
        <v>3003563750</v>
      </c>
      <c r="G71" s="93" t="s">
        <v>25</v>
      </c>
      <c r="H71" s="90">
        <v>30392</v>
      </c>
      <c r="I71" s="91">
        <f t="shared" ca="1" si="2"/>
        <v>43.202739726027396</v>
      </c>
      <c r="J71" s="87" t="s">
        <v>73</v>
      </c>
      <c r="K71" s="93">
        <v>3003563750</v>
      </c>
      <c r="L71" s="93" t="s">
        <v>365</v>
      </c>
      <c r="M71" s="93" t="s">
        <v>363</v>
      </c>
      <c r="N71" s="93" t="s">
        <v>186</v>
      </c>
      <c r="O71" s="93" t="s">
        <v>180</v>
      </c>
      <c r="P71" s="93" t="s">
        <v>165</v>
      </c>
      <c r="Q71" s="93" t="s">
        <v>170</v>
      </c>
      <c r="R71" s="94">
        <v>2024</v>
      </c>
      <c r="S71" s="106" t="s">
        <v>166</v>
      </c>
      <c r="T71" s="96"/>
      <c r="U71" s="97" t="s">
        <v>210</v>
      </c>
      <c r="V71" s="97"/>
      <c r="W71" s="98"/>
      <c r="X71" s="98"/>
      <c r="Y71" s="98"/>
      <c r="Z71" s="98"/>
      <c r="AA71" s="98"/>
      <c r="AB71" s="98"/>
    </row>
    <row r="72" spans="1:28" s="16" customFormat="1" ht="15.75" customHeight="1">
      <c r="A72" s="13"/>
      <c r="B72" s="18" t="s">
        <v>150</v>
      </c>
      <c r="C72" s="14" t="s">
        <v>151</v>
      </c>
      <c r="D72" s="14" t="s">
        <v>360</v>
      </c>
      <c r="E72" s="44" t="s">
        <v>366</v>
      </c>
      <c r="F72" s="44">
        <v>43475652</v>
      </c>
      <c r="G72" s="44" t="s">
        <v>25</v>
      </c>
      <c r="H72" s="66">
        <v>23779</v>
      </c>
      <c r="I72" s="67">
        <f t="shared" ca="1" si="2"/>
        <v>61.320547945205476</v>
      </c>
      <c r="J72" s="18"/>
      <c r="K72" s="44">
        <v>3004390747</v>
      </c>
      <c r="L72" s="44" t="s">
        <v>367</v>
      </c>
      <c r="M72" s="44" t="s">
        <v>363</v>
      </c>
      <c r="N72" s="44" t="s">
        <v>136</v>
      </c>
      <c r="O72" s="44" t="s">
        <v>180</v>
      </c>
      <c r="P72" s="44" t="s">
        <v>165</v>
      </c>
      <c r="Q72" s="17" t="s">
        <v>230</v>
      </c>
      <c r="R72" s="50">
        <v>2024</v>
      </c>
      <c r="S72" s="47" t="s">
        <v>160</v>
      </c>
      <c r="T72" s="51"/>
      <c r="U72" s="15"/>
      <c r="V72" s="15"/>
      <c r="W72" s="70"/>
      <c r="X72" s="70"/>
      <c r="Y72" s="70"/>
      <c r="Z72" s="70"/>
      <c r="AA72" s="70"/>
      <c r="AB72" s="70"/>
    </row>
    <row r="73" spans="1:28" s="16" customFormat="1" ht="15.75" customHeight="1">
      <c r="A73" s="86"/>
      <c r="B73" s="87" t="s">
        <v>150</v>
      </c>
      <c r="C73" s="88" t="s">
        <v>151</v>
      </c>
      <c r="D73" s="88" t="s">
        <v>360</v>
      </c>
      <c r="E73" s="93" t="s">
        <v>368</v>
      </c>
      <c r="F73" s="93">
        <v>39303570</v>
      </c>
      <c r="G73" s="93" t="s">
        <v>25</v>
      </c>
      <c r="H73" s="90">
        <v>24891</v>
      </c>
      <c r="I73" s="91">
        <v>56</v>
      </c>
      <c r="J73" s="87" t="s">
        <v>56</v>
      </c>
      <c r="K73" s="93">
        <v>3005323190</v>
      </c>
      <c r="L73" s="93" t="s">
        <v>369</v>
      </c>
      <c r="M73" s="93" t="s">
        <v>363</v>
      </c>
      <c r="N73" s="93" t="s">
        <v>141</v>
      </c>
      <c r="O73" s="93" t="s">
        <v>305</v>
      </c>
      <c r="P73" s="93" t="s">
        <v>165</v>
      </c>
      <c r="Q73" s="89" t="s">
        <v>230</v>
      </c>
      <c r="R73" s="94">
        <v>2024</v>
      </c>
      <c r="S73" s="106" t="s">
        <v>160</v>
      </c>
      <c r="T73" s="96"/>
      <c r="U73" s="97" t="s">
        <v>210</v>
      </c>
      <c r="V73" s="97"/>
      <c r="W73" s="98"/>
      <c r="X73" s="98"/>
      <c r="Y73" s="98"/>
      <c r="Z73" s="98"/>
      <c r="AA73" s="98"/>
      <c r="AB73" s="98"/>
    </row>
    <row r="74" spans="1:28" s="16" customFormat="1" ht="15.75" customHeight="1">
      <c r="A74" s="13"/>
      <c r="B74" s="18" t="s">
        <v>150</v>
      </c>
      <c r="C74" s="14" t="s">
        <v>151</v>
      </c>
      <c r="D74" s="14" t="s">
        <v>360</v>
      </c>
      <c r="E74" s="44" t="s">
        <v>370</v>
      </c>
      <c r="F74" s="44">
        <v>1025889195</v>
      </c>
      <c r="G74" s="44" t="s">
        <v>28</v>
      </c>
      <c r="H74" s="66"/>
      <c r="I74" s="67">
        <f t="shared" ref="I74:I93" ca="1" si="3">(TODAY()-H74)/365</f>
        <v>126.46849315068494</v>
      </c>
      <c r="J74" s="18"/>
      <c r="K74" s="44">
        <v>3005073302</v>
      </c>
      <c r="L74" s="44"/>
      <c r="M74" s="44" t="s">
        <v>363</v>
      </c>
      <c r="N74" s="44" t="s">
        <v>141</v>
      </c>
      <c r="O74" s="44"/>
      <c r="P74" s="44"/>
      <c r="Q74" s="44"/>
      <c r="R74" s="50">
        <v>2024</v>
      </c>
      <c r="S74" s="47" t="s">
        <v>160</v>
      </c>
      <c r="T74" s="51"/>
      <c r="U74" s="15"/>
      <c r="V74" s="15"/>
      <c r="W74" s="70"/>
      <c r="X74" s="70"/>
      <c r="Y74" s="70"/>
      <c r="Z74" s="70"/>
      <c r="AA74" s="70"/>
      <c r="AB74" s="70"/>
    </row>
    <row r="75" spans="1:28" s="16" customFormat="1" ht="15.6" customHeight="1">
      <c r="A75" s="86"/>
      <c r="B75" s="87" t="s">
        <v>225</v>
      </c>
      <c r="C75" s="88" t="s">
        <v>151</v>
      </c>
      <c r="D75" s="88" t="s">
        <v>360</v>
      </c>
      <c r="E75" s="93" t="s">
        <v>371</v>
      </c>
      <c r="F75" s="93">
        <v>10003933495</v>
      </c>
      <c r="G75" s="93" t="s">
        <v>25</v>
      </c>
      <c r="H75" s="90">
        <v>32357</v>
      </c>
      <c r="I75" s="91">
        <f t="shared" ca="1" si="3"/>
        <v>37.819178082191783</v>
      </c>
      <c r="J75" s="87" t="s">
        <v>56</v>
      </c>
      <c r="K75" s="93">
        <v>3235170811</v>
      </c>
      <c r="L75" s="93" t="s">
        <v>372</v>
      </c>
      <c r="M75" s="93" t="s">
        <v>363</v>
      </c>
      <c r="N75" s="93" t="s">
        <v>373</v>
      </c>
      <c r="O75" s="93" t="s">
        <v>374</v>
      </c>
      <c r="P75" s="93" t="s">
        <v>165</v>
      </c>
      <c r="Q75" s="93" t="s">
        <v>375</v>
      </c>
      <c r="R75" s="94">
        <v>2025</v>
      </c>
      <c r="S75" s="106" t="s">
        <v>160</v>
      </c>
      <c r="T75" s="96"/>
      <c r="U75" s="97" t="s">
        <v>376</v>
      </c>
      <c r="V75" s="97"/>
      <c r="W75" s="98"/>
      <c r="X75" s="98"/>
      <c r="Y75" s="98"/>
      <c r="Z75" s="98"/>
      <c r="AA75" s="98"/>
      <c r="AB75" s="98"/>
    </row>
    <row r="76" spans="1:28" s="16" customFormat="1" ht="15.75" customHeight="1">
      <c r="A76" s="13"/>
      <c r="B76" s="18" t="s">
        <v>150</v>
      </c>
      <c r="C76" s="14" t="s">
        <v>151</v>
      </c>
      <c r="D76" s="14" t="s">
        <v>377</v>
      </c>
      <c r="E76" s="44" t="s">
        <v>378</v>
      </c>
      <c r="F76" s="44">
        <v>1017122387</v>
      </c>
      <c r="G76" s="44" t="s">
        <v>25</v>
      </c>
      <c r="H76" s="66">
        <v>37895</v>
      </c>
      <c r="I76" s="67">
        <f t="shared" ca="1" si="3"/>
        <v>22.646575342465752</v>
      </c>
      <c r="J76" s="18"/>
      <c r="K76" s="44">
        <v>3014372885</v>
      </c>
      <c r="L76" s="44" t="s">
        <v>379</v>
      </c>
      <c r="M76" s="44" t="s">
        <v>380</v>
      </c>
      <c r="N76" s="44" t="s">
        <v>141</v>
      </c>
      <c r="O76" s="44" t="s">
        <v>333</v>
      </c>
      <c r="P76" s="44" t="s">
        <v>158</v>
      </c>
      <c r="Q76" s="49" t="s">
        <v>159</v>
      </c>
      <c r="R76" s="50">
        <v>2024</v>
      </c>
      <c r="S76" s="47" t="s">
        <v>160</v>
      </c>
      <c r="T76" s="51"/>
      <c r="U76" s="15"/>
      <c r="V76" s="15"/>
      <c r="W76" s="70"/>
      <c r="X76" s="70"/>
      <c r="Y76" s="70"/>
      <c r="Z76" s="70"/>
      <c r="AA76" s="70"/>
      <c r="AB76" s="70"/>
    </row>
    <row r="77" spans="1:28" s="16" customFormat="1" ht="15.75" customHeight="1">
      <c r="A77" s="13"/>
      <c r="B77" s="18" t="s">
        <v>150</v>
      </c>
      <c r="C77" s="14" t="s">
        <v>151</v>
      </c>
      <c r="D77" s="14" t="s">
        <v>377</v>
      </c>
      <c r="E77" s="44" t="s">
        <v>381</v>
      </c>
      <c r="F77" s="44">
        <v>1033177889</v>
      </c>
      <c r="G77" s="44" t="s">
        <v>28</v>
      </c>
      <c r="H77" s="66">
        <v>38268</v>
      </c>
      <c r="I77" s="67">
        <f t="shared" ca="1" si="3"/>
        <v>21.624657534246577</v>
      </c>
      <c r="J77" s="18"/>
      <c r="K77" s="44">
        <v>3217121647</v>
      </c>
      <c r="L77" s="44" t="s">
        <v>382</v>
      </c>
      <c r="M77" s="44" t="s">
        <v>380</v>
      </c>
      <c r="N77" s="44" t="s">
        <v>141</v>
      </c>
      <c r="O77" s="44" t="s">
        <v>192</v>
      </c>
      <c r="P77" s="44" t="s">
        <v>158</v>
      </c>
      <c r="Q77" s="49" t="s">
        <v>159</v>
      </c>
      <c r="R77" s="50">
        <v>2024</v>
      </c>
      <c r="S77" s="47" t="s">
        <v>160</v>
      </c>
      <c r="T77" s="51"/>
      <c r="U77" s="15"/>
      <c r="V77" s="15"/>
      <c r="W77" s="70"/>
      <c r="X77" s="70"/>
      <c r="Y77" s="70"/>
      <c r="Z77" s="70"/>
      <c r="AA77" s="70"/>
      <c r="AB77" s="70"/>
    </row>
    <row r="78" spans="1:28" s="16" customFormat="1" ht="15.75" customHeight="1">
      <c r="A78" s="13"/>
      <c r="B78" s="18" t="s">
        <v>150</v>
      </c>
      <c r="C78" s="14" t="s">
        <v>151</v>
      </c>
      <c r="D78" s="14" t="s">
        <v>377</v>
      </c>
      <c r="E78" s="44" t="s">
        <v>383</v>
      </c>
      <c r="F78" s="44">
        <v>1017184434</v>
      </c>
      <c r="G78" s="44" t="s">
        <v>25</v>
      </c>
      <c r="H78" s="66">
        <v>33138</v>
      </c>
      <c r="I78" s="67">
        <f t="shared" ca="1" si="3"/>
        <v>35.679452054794524</v>
      </c>
      <c r="J78" s="18"/>
      <c r="K78" s="44">
        <v>3128900398</v>
      </c>
      <c r="L78" s="44" t="s">
        <v>384</v>
      </c>
      <c r="M78" s="44" t="s">
        <v>380</v>
      </c>
      <c r="N78" s="44" t="s">
        <v>141</v>
      </c>
      <c r="O78" s="44" t="s">
        <v>333</v>
      </c>
      <c r="P78" s="44" t="s">
        <v>158</v>
      </c>
      <c r="Q78" s="49" t="s">
        <v>159</v>
      </c>
      <c r="R78" s="50">
        <v>2024</v>
      </c>
      <c r="S78" s="47" t="s">
        <v>160</v>
      </c>
      <c r="T78" s="51"/>
      <c r="U78" s="15"/>
      <c r="V78" s="15"/>
      <c r="W78" s="70"/>
      <c r="X78" s="70"/>
      <c r="Y78" s="70"/>
      <c r="Z78" s="70"/>
      <c r="AA78" s="70"/>
      <c r="AB78" s="70"/>
    </row>
    <row r="79" spans="1:28" s="16" customFormat="1" ht="15.75" customHeight="1">
      <c r="A79" s="13"/>
      <c r="B79" s="18" t="s">
        <v>150</v>
      </c>
      <c r="C79" s="14" t="s">
        <v>151</v>
      </c>
      <c r="D79" s="14" t="s">
        <v>377</v>
      </c>
      <c r="E79" s="44" t="s">
        <v>385</v>
      </c>
      <c r="F79" s="44">
        <v>43733472</v>
      </c>
      <c r="G79" s="44" t="s">
        <v>25</v>
      </c>
      <c r="H79" s="66">
        <v>26290</v>
      </c>
      <c r="I79" s="67">
        <f t="shared" ca="1" si="3"/>
        <v>54.441095890410956</v>
      </c>
      <c r="J79" s="18"/>
      <c r="K79" s="44">
        <v>3215040299</v>
      </c>
      <c r="L79" s="44"/>
      <c r="M79" s="44" t="s">
        <v>380</v>
      </c>
      <c r="N79" s="44" t="s">
        <v>141</v>
      </c>
      <c r="O79" s="44" t="s">
        <v>340</v>
      </c>
      <c r="P79" s="44" t="s">
        <v>158</v>
      </c>
      <c r="Q79" s="49" t="s">
        <v>159</v>
      </c>
      <c r="R79" s="50">
        <v>2024</v>
      </c>
      <c r="S79" s="47" t="s">
        <v>160</v>
      </c>
      <c r="T79" s="51"/>
      <c r="U79" s="15"/>
      <c r="V79" s="15"/>
      <c r="W79" s="70"/>
      <c r="X79" s="70"/>
      <c r="Y79" s="70"/>
      <c r="Z79" s="70"/>
      <c r="AA79" s="70"/>
      <c r="AB79" s="70"/>
    </row>
    <row r="80" spans="1:28" s="16" customFormat="1" ht="15.75" customHeight="1">
      <c r="A80" s="13"/>
      <c r="B80" s="18" t="s">
        <v>150</v>
      </c>
      <c r="C80" s="14" t="s">
        <v>151</v>
      </c>
      <c r="D80" s="14" t="s">
        <v>377</v>
      </c>
      <c r="E80" s="44" t="s">
        <v>386</v>
      </c>
      <c r="F80" s="44">
        <v>71620482</v>
      </c>
      <c r="G80" s="44" t="s">
        <v>28</v>
      </c>
      <c r="H80" s="66">
        <v>22864</v>
      </c>
      <c r="I80" s="67">
        <f t="shared" ca="1" si="3"/>
        <v>63.827397260273976</v>
      </c>
      <c r="J80" s="18"/>
      <c r="K80" s="44">
        <v>3150415144</v>
      </c>
      <c r="L80" s="110" t="s">
        <v>387</v>
      </c>
      <c r="M80" s="44" t="s">
        <v>380</v>
      </c>
      <c r="N80" s="44" t="s">
        <v>141</v>
      </c>
      <c r="O80" s="44" t="s">
        <v>164</v>
      </c>
      <c r="P80" s="44" t="s">
        <v>165</v>
      </c>
      <c r="Q80" s="17" t="s">
        <v>230</v>
      </c>
      <c r="R80" s="50">
        <v>2024</v>
      </c>
      <c r="S80" s="47" t="s">
        <v>166</v>
      </c>
      <c r="T80" s="51"/>
      <c r="U80" s="15"/>
      <c r="V80" s="15"/>
      <c r="W80" s="70"/>
      <c r="X80" s="70"/>
      <c r="Y80" s="70"/>
      <c r="Z80" s="70"/>
      <c r="AA80" s="70"/>
      <c r="AB80" s="70"/>
    </row>
    <row r="81" spans="1:28" s="16" customFormat="1" ht="15.75" customHeight="1">
      <c r="A81" s="13"/>
      <c r="B81" s="18" t="s">
        <v>150</v>
      </c>
      <c r="C81" s="14" t="s">
        <v>151</v>
      </c>
      <c r="D81" s="14" t="s">
        <v>377</v>
      </c>
      <c r="E81" s="44" t="s">
        <v>388</v>
      </c>
      <c r="F81" s="44">
        <v>1039682527</v>
      </c>
      <c r="G81" s="44" t="s">
        <v>28</v>
      </c>
      <c r="H81" s="66">
        <v>38625</v>
      </c>
      <c r="I81" s="67">
        <f t="shared" ca="1" si="3"/>
        <v>20.646575342465752</v>
      </c>
      <c r="J81" s="18"/>
      <c r="K81" s="44">
        <v>3157729646</v>
      </c>
      <c r="L81" s="44" t="s">
        <v>389</v>
      </c>
      <c r="M81" s="44" t="s">
        <v>380</v>
      </c>
      <c r="N81" s="44" t="s">
        <v>141</v>
      </c>
      <c r="O81" s="44"/>
      <c r="P81" s="44" t="s">
        <v>165</v>
      </c>
      <c r="Q81" s="44" t="s">
        <v>197</v>
      </c>
      <c r="R81" s="50">
        <v>2024</v>
      </c>
      <c r="S81" s="47" t="s">
        <v>160</v>
      </c>
      <c r="T81" s="51"/>
      <c r="U81" s="15"/>
      <c r="V81" s="15"/>
      <c r="W81" s="70"/>
      <c r="X81" s="70"/>
      <c r="Y81" s="70"/>
      <c r="Z81" s="70"/>
      <c r="AA81" s="70"/>
      <c r="AB81" s="70"/>
    </row>
    <row r="82" spans="1:28" s="16" customFormat="1" ht="15.75" customHeight="1">
      <c r="A82" s="13"/>
      <c r="B82" s="18" t="s">
        <v>150</v>
      </c>
      <c r="C82" s="14" t="s">
        <v>151</v>
      </c>
      <c r="D82" s="14" t="s">
        <v>390</v>
      </c>
      <c r="E82" s="44" t="s">
        <v>391</v>
      </c>
      <c r="F82" s="44">
        <v>1037618062</v>
      </c>
      <c r="G82" s="44" t="s">
        <v>28</v>
      </c>
      <c r="H82" s="66">
        <v>33620</v>
      </c>
      <c r="I82" s="67">
        <f t="shared" ca="1" si="3"/>
        <v>34.358904109589041</v>
      </c>
      <c r="J82" s="18"/>
      <c r="K82" s="44">
        <v>3012088280</v>
      </c>
      <c r="L82" s="44" t="s">
        <v>392</v>
      </c>
      <c r="M82" s="49" t="s">
        <v>393</v>
      </c>
      <c r="N82" s="44" t="s">
        <v>186</v>
      </c>
      <c r="O82" s="44" t="s">
        <v>277</v>
      </c>
      <c r="P82" s="44" t="s">
        <v>158</v>
      </c>
      <c r="Q82" s="44" t="s">
        <v>193</v>
      </c>
      <c r="R82" s="50">
        <v>2024</v>
      </c>
      <c r="S82" s="47" t="s">
        <v>166</v>
      </c>
      <c r="T82" s="51"/>
      <c r="U82" s="15"/>
      <c r="V82" s="15"/>
      <c r="W82" s="70"/>
      <c r="X82" s="70"/>
      <c r="Y82" s="70"/>
      <c r="Z82" s="70"/>
      <c r="AA82" s="70"/>
      <c r="AB82" s="70"/>
    </row>
    <row r="83" spans="1:28" s="16" customFormat="1" ht="15.75" customHeight="1">
      <c r="A83" s="13"/>
      <c r="B83" s="18" t="s">
        <v>150</v>
      </c>
      <c r="C83" s="14" t="s">
        <v>151</v>
      </c>
      <c r="D83" s="14" t="s">
        <v>390</v>
      </c>
      <c r="E83" s="44" t="s">
        <v>394</v>
      </c>
      <c r="F83" s="44"/>
      <c r="G83" s="126" t="s">
        <v>28</v>
      </c>
      <c r="H83" s="66">
        <v>34528</v>
      </c>
      <c r="I83" s="67">
        <f t="shared" ca="1" si="3"/>
        <v>31.87123287671233</v>
      </c>
      <c r="J83" s="18"/>
      <c r="K83" s="44">
        <v>3046586707</v>
      </c>
      <c r="L83" s="44" t="s">
        <v>395</v>
      </c>
      <c r="M83" s="49" t="s">
        <v>393</v>
      </c>
      <c r="N83" s="44" t="s">
        <v>136</v>
      </c>
      <c r="O83" s="44" t="s">
        <v>396</v>
      </c>
      <c r="P83" s="44" t="s">
        <v>165</v>
      </c>
      <c r="Q83" s="49" t="s">
        <v>159</v>
      </c>
      <c r="R83" s="50">
        <v>2024</v>
      </c>
      <c r="S83" s="47" t="s">
        <v>160</v>
      </c>
      <c r="T83" s="51"/>
      <c r="U83" s="15"/>
      <c r="V83" s="15"/>
      <c r="W83" s="70"/>
      <c r="X83" s="70"/>
      <c r="Y83" s="70"/>
      <c r="Z83" s="70"/>
      <c r="AA83" s="70"/>
      <c r="AB83" s="70"/>
    </row>
    <row r="84" spans="1:28" s="16" customFormat="1" ht="15.75" customHeight="1">
      <c r="A84" s="13"/>
      <c r="B84" s="18" t="s">
        <v>150</v>
      </c>
      <c r="C84" s="14" t="s">
        <v>151</v>
      </c>
      <c r="D84" s="14" t="s">
        <v>390</v>
      </c>
      <c r="E84" s="44" t="s">
        <v>397</v>
      </c>
      <c r="F84" s="44">
        <v>1023626000</v>
      </c>
      <c r="G84" s="44" t="s">
        <v>25</v>
      </c>
      <c r="H84" s="66">
        <v>38439</v>
      </c>
      <c r="I84" s="67">
        <f t="shared" ca="1" si="3"/>
        <v>21.156164383561645</v>
      </c>
      <c r="J84" s="111"/>
      <c r="K84" s="44">
        <v>3007706547</v>
      </c>
      <c r="L84" s="44" t="s">
        <v>398</v>
      </c>
      <c r="M84" s="49" t="s">
        <v>393</v>
      </c>
      <c r="N84" s="44" t="s">
        <v>141</v>
      </c>
      <c r="O84" s="44" t="s">
        <v>192</v>
      </c>
      <c r="P84" s="44" t="s">
        <v>165</v>
      </c>
      <c r="Q84" s="17" t="s">
        <v>230</v>
      </c>
      <c r="R84" s="50">
        <v>2024</v>
      </c>
      <c r="S84" s="47" t="s">
        <v>160</v>
      </c>
      <c r="T84" s="51"/>
      <c r="U84" s="15"/>
      <c r="V84" s="15"/>
      <c r="W84" s="70"/>
      <c r="X84" s="70"/>
      <c r="Y84" s="70"/>
      <c r="Z84" s="70"/>
      <c r="AA84" s="70"/>
      <c r="AB84" s="70"/>
    </row>
    <row r="85" spans="1:28" s="16" customFormat="1" ht="15.75" customHeight="1">
      <c r="A85" s="13"/>
      <c r="B85" s="18" t="s">
        <v>150</v>
      </c>
      <c r="C85" s="14" t="s">
        <v>151</v>
      </c>
      <c r="D85" s="14" t="s">
        <v>390</v>
      </c>
      <c r="E85" s="44" t="s">
        <v>399</v>
      </c>
      <c r="F85" s="44">
        <v>1017159238</v>
      </c>
      <c r="G85" s="44" t="s">
        <v>25</v>
      </c>
      <c r="H85" s="66">
        <v>32039</v>
      </c>
      <c r="I85" s="67">
        <f t="shared" ca="1" si="3"/>
        <v>38.69041095890411</v>
      </c>
      <c r="J85" s="18"/>
      <c r="K85" s="44">
        <v>3218081052</v>
      </c>
      <c r="L85" s="44" t="s">
        <v>400</v>
      </c>
      <c r="M85" s="49" t="s">
        <v>393</v>
      </c>
      <c r="N85" s="44" t="s">
        <v>141</v>
      </c>
      <c r="O85" s="44" t="s">
        <v>396</v>
      </c>
      <c r="P85" s="44" t="s">
        <v>165</v>
      </c>
      <c r="Q85" s="17" t="s">
        <v>230</v>
      </c>
      <c r="R85" s="50">
        <v>2024</v>
      </c>
      <c r="S85" s="47" t="s">
        <v>160</v>
      </c>
      <c r="T85" s="51"/>
      <c r="U85" s="15"/>
      <c r="V85" s="15"/>
      <c r="W85" s="70"/>
      <c r="X85" s="70"/>
      <c r="Y85" s="70"/>
      <c r="Z85" s="70"/>
      <c r="AA85" s="70"/>
      <c r="AB85" s="70"/>
    </row>
    <row r="86" spans="1:28" s="16" customFormat="1" ht="15.75" customHeight="1">
      <c r="A86" s="13"/>
      <c r="B86" s="18" t="s">
        <v>150</v>
      </c>
      <c r="C86" s="14" t="s">
        <v>151</v>
      </c>
      <c r="D86" s="14" t="s">
        <v>390</v>
      </c>
      <c r="E86" s="44" t="s">
        <v>401</v>
      </c>
      <c r="F86" s="44">
        <v>1035231882</v>
      </c>
      <c r="G86" s="44" t="s">
        <v>25</v>
      </c>
      <c r="H86" s="66">
        <v>35104</v>
      </c>
      <c r="I86" s="67">
        <f t="shared" ca="1" si="3"/>
        <v>30.293150684931508</v>
      </c>
      <c r="J86" s="111"/>
      <c r="K86" s="44">
        <v>3043138690</v>
      </c>
      <c r="L86" s="44" t="s">
        <v>402</v>
      </c>
      <c r="M86" s="49" t="s">
        <v>393</v>
      </c>
      <c r="N86" s="44" t="s">
        <v>141</v>
      </c>
      <c r="O86" s="44" t="s">
        <v>396</v>
      </c>
      <c r="P86" s="44" t="s">
        <v>158</v>
      </c>
      <c r="Q86" s="49" t="s">
        <v>159</v>
      </c>
      <c r="R86" s="50">
        <v>2024</v>
      </c>
      <c r="S86" s="47" t="s">
        <v>160</v>
      </c>
      <c r="T86" s="51"/>
      <c r="U86" s="15"/>
      <c r="V86" s="15"/>
      <c r="W86" s="70"/>
      <c r="X86" s="70"/>
      <c r="Y86" s="70"/>
      <c r="Z86" s="70"/>
      <c r="AA86" s="70"/>
      <c r="AB86" s="70"/>
    </row>
    <row r="87" spans="1:28" s="16" customFormat="1" ht="15.75" customHeight="1">
      <c r="A87" s="13"/>
      <c r="B87" s="18" t="s">
        <v>150</v>
      </c>
      <c r="C87" s="14" t="s">
        <v>151</v>
      </c>
      <c r="D87" s="14" t="s">
        <v>390</v>
      </c>
      <c r="E87" s="44" t="s">
        <v>403</v>
      </c>
      <c r="F87" s="44">
        <v>1028002216</v>
      </c>
      <c r="G87" s="44" t="s">
        <v>25</v>
      </c>
      <c r="H87" s="66">
        <v>33635</v>
      </c>
      <c r="I87" s="67">
        <f t="shared" ca="1" si="3"/>
        <v>34.317808219178083</v>
      </c>
      <c r="J87" s="18"/>
      <c r="K87" s="44">
        <v>3217267968</v>
      </c>
      <c r="L87" s="44" t="s">
        <v>404</v>
      </c>
      <c r="M87" s="49" t="s">
        <v>393</v>
      </c>
      <c r="N87" s="44" t="s">
        <v>141</v>
      </c>
      <c r="O87" s="44"/>
      <c r="P87" s="44" t="s">
        <v>165</v>
      </c>
      <c r="Q87" s="44" t="s">
        <v>405</v>
      </c>
      <c r="R87" s="50">
        <v>2024</v>
      </c>
      <c r="S87" s="47" t="s">
        <v>160</v>
      </c>
      <c r="T87" s="51"/>
      <c r="U87" s="15"/>
      <c r="V87" s="15"/>
      <c r="W87" s="70"/>
      <c r="X87" s="70"/>
      <c r="Y87" s="70"/>
      <c r="Z87" s="70"/>
      <c r="AA87" s="70"/>
      <c r="AB87" s="70"/>
    </row>
    <row r="88" spans="1:28" s="16" customFormat="1" ht="15.75" customHeight="1">
      <c r="A88" s="13"/>
      <c r="B88" s="18" t="s">
        <v>150</v>
      </c>
      <c r="C88" s="14" t="s">
        <v>22</v>
      </c>
      <c r="D88" s="14" t="s">
        <v>393</v>
      </c>
      <c r="E88" s="49" t="s">
        <v>406</v>
      </c>
      <c r="F88" s="49">
        <v>1000766099</v>
      </c>
      <c r="G88" s="44" t="s">
        <v>25</v>
      </c>
      <c r="H88" s="66">
        <v>33904</v>
      </c>
      <c r="I88" s="67">
        <f t="shared" ca="1" si="3"/>
        <v>33.580821917808223</v>
      </c>
      <c r="J88" s="18"/>
      <c r="K88" s="49">
        <v>3206241233</v>
      </c>
      <c r="L88" s="68" t="s">
        <v>407</v>
      </c>
      <c r="M88" s="49" t="s">
        <v>393</v>
      </c>
      <c r="N88" s="49" t="s">
        <v>141</v>
      </c>
      <c r="O88" s="49" t="s">
        <v>408</v>
      </c>
      <c r="P88" s="44" t="s">
        <v>165</v>
      </c>
      <c r="Q88" s="17" t="s">
        <v>230</v>
      </c>
      <c r="R88" s="50">
        <v>2024</v>
      </c>
      <c r="S88" s="127" t="s">
        <v>269</v>
      </c>
      <c r="T88" s="51"/>
      <c r="U88" s="15"/>
      <c r="V88" s="15"/>
      <c r="W88" s="70"/>
      <c r="X88" s="70"/>
      <c r="Y88" s="70"/>
      <c r="Z88" s="70"/>
      <c r="AA88" s="70"/>
      <c r="AB88" s="70"/>
    </row>
    <row r="89" spans="1:28" s="16" customFormat="1" ht="15.75" customHeight="1">
      <c r="A89" s="13"/>
      <c r="B89" s="18" t="s">
        <v>150</v>
      </c>
      <c r="C89" s="14" t="s">
        <v>22</v>
      </c>
      <c r="D89" s="14" t="s">
        <v>393</v>
      </c>
      <c r="E89" s="44" t="s">
        <v>409</v>
      </c>
      <c r="F89" s="44">
        <v>1001686709</v>
      </c>
      <c r="G89" s="44" t="s">
        <v>28</v>
      </c>
      <c r="H89" s="66">
        <v>37321</v>
      </c>
      <c r="I89" s="67">
        <f t="shared" ca="1" si="3"/>
        <v>24.219178082191782</v>
      </c>
      <c r="J89" s="18"/>
      <c r="K89" s="44">
        <v>3002112961</v>
      </c>
      <c r="L89" s="68" t="s">
        <v>410</v>
      </c>
      <c r="M89" s="44" t="s">
        <v>393</v>
      </c>
      <c r="N89" s="44" t="s">
        <v>141</v>
      </c>
      <c r="O89" s="44" t="s">
        <v>164</v>
      </c>
      <c r="P89" s="44" t="s">
        <v>165</v>
      </c>
      <c r="Q89" s="49" t="s">
        <v>159</v>
      </c>
      <c r="R89" s="50">
        <v>2024</v>
      </c>
      <c r="S89" s="47" t="s">
        <v>160</v>
      </c>
      <c r="T89" s="51"/>
      <c r="U89" s="15"/>
      <c r="V89" s="15"/>
      <c r="W89" s="70"/>
      <c r="X89" s="70"/>
      <c r="Y89" s="70"/>
      <c r="Z89" s="70"/>
      <c r="AA89" s="70"/>
      <c r="AB89" s="70"/>
    </row>
    <row r="90" spans="1:28" s="16" customFormat="1" ht="15.75" customHeight="1">
      <c r="A90" s="13"/>
      <c r="B90" s="18" t="s">
        <v>150</v>
      </c>
      <c r="C90" s="14" t="s">
        <v>22</v>
      </c>
      <c r="D90" s="14" t="s">
        <v>393</v>
      </c>
      <c r="E90" s="44" t="s">
        <v>411</v>
      </c>
      <c r="F90" s="44">
        <v>42774030</v>
      </c>
      <c r="G90" s="44" t="s">
        <v>25</v>
      </c>
      <c r="H90" s="66">
        <v>24424</v>
      </c>
      <c r="I90" s="67">
        <f t="shared" ca="1" si="3"/>
        <v>59.553424657534244</v>
      </c>
      <c r="J90" s="18"/>
      <c r="K90" s="44">
        <v>3197401124</v>
      </c>
      <c r="L90" s="44"/>
      <c r="M90" s="44" t="s">
        <v>393</v>
      </c>
      <c r="N90" s="44" t="s">
        <v>141</v>
      </c>
      <c r="O90" s="44" t="s">
        <v>180</v>
      </c>
      <c r="P90" s="44" t="s">
        <v>165</v>
      </c>
      <c r="Q90" s="49" t="s">
        <v>159</v>
      </c>
      <c r="R90" s="50">
        <v>2024</v>
      </c>
      <c r="S90" s="47" t="s">
        <v>160</v>
      </c>
      <c r="T90" s="51"/>
      <c r="U90" s="15"/>
      <c r="V90" s="15"/>
      <c r="W90" s="70"/>
      <c r="X90" s="70"/>
      <c r="Y90" s="70"/>
      <c r="Z90" s="70"/>
      <c r="AA90" s="70"/>
      <c r="AB90" s="70"/>
    </row>
    <row r="91" spans="1:28" s="16" customFormat="1" ht="15.75" customHeight="1">
      <c r="A91" s="13"/>
      <c r="B91" s="18" t="s">
        <v>150</v>
      </c>
      <c r="C91" s="14" t="s">
        <v>22</v>
      </c>
      <c r="D91" s="14" t="s">
        <v>393</v>
      </c>
      <c r="E91" s="44" t="s">
        <v>412</v>
      </c>
      <c r="F91" s="128">
        <v>1000635559</v>
      </c>
      <c r="G91" s="128" t="s">
        <v>25</v>
      </c>
      <c r="H91" s="66">
        <v>37309</v>
      </c>
      <c r="I91" s="67">
        <f t="shared" ca="1" si="3"/>
        <v>24.252054794520546</v>
      </c>
      <c r="J91" s="18"/>
      <c r="K91" s="44">
        <v>3017747751</v>
      </c>
      <c r="L91" s="68" t="s">
        <v>413</v>
      </c>
      <c r="M91" s="44" t="s">
        <v>393</v>
      </c>
      <c r="N91" s="44" t="s">
        <v>141</v>
      </c>
      <c r="O91" s="44" t="s">
        <v>180</v>
      </c>
      <c r="P91" s="44" t="s">
        <v>165</v>
      </c>
      <c r="Q91" s="49" t="s">
        <v>159</v>
      </c>
      <c r="R91" s="50">
        <v>2024</v>
      </c>
      <c r="S91" s="47" t="s">
        <v>160</v>
      </c>
      <c r="T91" s="51"/>
      <c r="U91" s="15"/>
      <c r="V91" s="15"/>
      <c r="W91" s="70"/>
      <c r="X91" s="70"/>
      <c r="Y91" s="70"/>
      <c r="Z91" s="70"/>
      <c r="AA91" s="70"/>
      <c r="AB91" s="70"/>
    </row>
    <row r="92" spans="1:28" s="16" customFormat="1" ht="15.75" customHeight="1">
      <c r="A92" s="13"/>
      <c r="B92" s="18" t="s">
        <v>150</v>
      </c>
      <c r="C92" s="14" t="s">
        <v>22</v>
      </c>
      <c r="D92" s="14" t="s">
        <v>393</v>
      </c>
      <c r="E92" s="47" t="s">
        <v>414</v>
      </c>
      <c r="F92" s="129">
        <v>1128394569</v>
      </c>
      <c r="G92" s="129" t="s">
        <v>25</v>
      </c>
      <c r="H92" s="130">
        <v>32652</v>
      </c>
      <c r="I92" s="67">
        <f t="shared" ca="1" si="3"/>
        <v>37.010958904109586</v>
      </c>
      <c r="J92" s="18"/>
      <c r="K92" s="128">
        <v>3116401142</v>
      </c>
      <c r="L92" s="68" t="s">
        <v>415</v>
      </c>
      <c r="M92" s="44" t="s">
        <v>393</v>
      </c>
      <c r="N92" s="44" t="s">
        <v>141</v>
      </c>
      <c r="O92" s="44" t="s">
        <v>180</v>
      </c>
      <c r="P92" s="44" t="s">
        <v>165</v>
      </c>
      <c r="Q92" s="44" t="s">
        <v>193</v>
      </c>
      <c r="R92" s="50">
        <v>2024</v>
      </c>
      <c r="S92" s="47" t="s">
        <v>160</v>
      </c>
      <c r="T92" s="51"/>
      <c r="U92" s="15"/>
      <c r="V92" s="15"/>
      <c r="W92" s="70"/>
      <c r="X92" s="70"/>
      <c r="Y92" s="70"/>
      <c r="Z92" s="70"/>
      <c r="AA92" s="70"/>
      <c r="AB92" s="70"/>
    </row>
    <row r="93" spans="1:28" s="16" customFormat="1" ht="15.75" customHeight="1">
      <c r="A93" s="13"/>
      <c r="B93" s="18" t="s">
        <v>150</v>
      </c>
      <c r="C93" s="14" t="s">
        <v>22</v>
      </c>
      <c r="D93" s="14" t="s">
        <v>393</v>
      </c>
      <c r="E93" s="47" t="s">
        <v>416</v>
      </c>
      <c r="F93" s="129">
        <v>1001028424</v>
      </c>
      <c r="G93" s="129" t="s">
        <v>28</v>
      </c>
      <c r="H93" s="131">
        <v>37423</v>
      </c>
      <c r="I93" s="67">
        <f t="shared" ca="1" si="3"/>
        <v>23.93972602739726</v>
      </c>
      <c r="J93" s="18"/>
      <c r="K93" s="49">
        <v>3212778345</v>
      </c>
      <c r="L93" s="44"/>
      <c r="M93" s="44" t="s">
        <v>393</v>
      </c>
      <c r="N93" s="44" t="s">
        <v>141</v>
      </c>
      <c r="O93" s="44" t="s">
        <v>333</v>
      </c>
      <c r="P93" s="44" t="s">
        <v>165</v>
      </c>
      <c r="Q93" s="49" t="s">
        <v>159</v>
      </c>
      <c r="R93" s="50">
        <v>2024</v>
      </c>
      <c r="S93" s="47" t="s">
        <v>160</v>
      </c>
      <c r="T93" s="51"/>
      <c r="U93" s="15"/>
      <c r="V93" s="15"/>
      <c r="W93" s="70"/>
      <c r="X93" s="70"/>
      <c r="Y93" s="70"/>
      <c r="Z93" s="70"/>
      <c r="AA93" s="70"/>
      <c r="AB93" s="70"/>
    </row>
    <row r="94" spans="1:28" ht="15.75" customHeight="1">
      <c r="T94" s="10"/>
      <c r="U94" s="10"/>
      <c r="V94" s="10"/>
    </row>
    <row r="95" spans="1:28" ht="15.75" customHeight="1">
      <c r="T95" s="10"/>
      <c r="U95" s="10"/>
      <c r="V95" s="10"/>
    </row>
    <row r="96" spans="1:28" ht="15.75" customHeight="1">
      <c r="T96" s="10"/>
      <c r="U96" s="10"/>
      <c r="V96" s="10"/>
    </row>
    <row r="97" spans="20:22" ht="15.75" customHeight="1">
      <c r="T97" s="10"/>
      <c r="U97" s="10"/>
      <c r="V97" s="10"/>
    </row>
    <row r="98" spans="20:22" ht="15.75" customHeight="1">
      <c r="T98" s="10"/>
      <c r="U98" s="10"/>
      <c r="V98" s="10"/>
    </row>
    <row r="99" spans="20:22" ht="15.75" customHeight="1">
      <c r="T99" s="10"/>
      <c r="U99" s="10"/>
      <c r="V99" s="10"/>
    </row>
    <row r="100" spans="20:22" ht="15.75" customHeight="1">
      <c r="T100" s="10"/>
      <c r="U100" s="10"/>
      <c r="V100" s="10"/>
    </row>
    <row r="101" spans="20:22" ht="15.75" customHeight="1">
      <c r="T101" s="10"/>
      <c r="U101" s="10"/>
      <c r="V101" s="10"/>
    </row>
    <row r="102" spans="20:22" ht="15.75" customHeight="1">
      <c r="T102" s="10"/>
      <c r="U102" s="10"/>
      <c r="V102" s="10"/>
    </row>
    <row r="103" spans="20:22" ht="15.75" customHeight="1">
      <c r="T103" s="10"/>
      <c r="U103" s="10"/>
      <c r="V103" s="10"/>
    </row>
    <row r="104" spans="20:22" ht="15.75" customHeight="1">
      <c r="T104" s="10"/>
      <c r="U104" s="10"/>
      <c r="V104" s="10"/>
    </row>
    <row r="105" spans="20:22" ht="15.75" customHeight="1">
      <c r="T105" s="10"/>
      <c r="U105" s="10"/>
      <c r="V105" s="10"/>
    </row>
    <row r="106" spans="20:22" ht="15.75" customHeight="1">
      <c r="T106" s="10"/>
      <c r="U106" s="10"/>
      <c r="V106" s="10"/>
    </row>
    <row r="107" spans="20:22" ht="15.75" customHeight="1">
      <c r="T107" s="10"/>
      <c r="U107" s="10"/>
      <c r="V107" s="10"/>
    </row>
    <row r="108" spans="20:22" ht="15.75" customHeight="1">
      <c r="T108" s="10"/>
      <c r="U108" s="10"/>
      <c r="V108" s="10"/>
    </row>
    <row r="109" spans="20:22" ht="15.75" customHeight="1">
      <c r="T109" s="10"/>
      <c r="U109" s="10"/>
      <c r="V109" s="10"/>
    </row>
    <row r="110" spans="20:22" ht="15.75" customHeight="1">
      <c r="T110" s="10"/>
      <c r="U110" s="10"/>
      <c r="V110" s="10"/>
    </row>
    <row r="111" spans="20:22" ht="15.75" customHeight="1">
      <c r="T111" s="10"/>
      <c r="U111" s="10"/>
      <c r="V111" s="10"/>
    </row>
    <row r="112" spans="20:22" ht="15.75" customHeight="1">
      <c r="T112" s="10"/>
      <c r="U112" s="10"/>
      <c r="V112" s="10"/>
    </row>
    <row r="113" spans="1:22" ht="15.75" customHeight="1">
      <c r="T113" s="10"/>
      <c r="U113" s="10"/>
      <c r="V113" s="10"/>
    </row>
    <row r="114" spans="1:22" ht="15.75" customHeight="1">
      <c r="T114" s="10"/>
      <c r="U114" s="10"/>
      <c r="V114" s="10"/>
    </row>
    <row r="115" spans="1:22" ht="15.75" customHeight="1">
      <c r="T115" s="10"/>
      <c r="U115" s="10"/>
      <c r="V115" s="10"/>
    </row>
    <row r="116" spans="1:22" ht="15.75" customHeight="1">
      <c r="T116" s="10"/>
      <c r="U116" s="10"/>
      <c r="V116" s="10"/>
    </row>
    <row r="117" spans="1:22" ht="15.75" customHeight="1">
      <c r="T117" s="10"/>
      <c r="U117" s="10"/>
      <c r="V117" s="10"/>
    </row>
    <row r="118" spans="1:22" ht="15.75" customHeight="1">
      <c r="T118" s="10"/>
      <c r="U118" s="10"/>
      <c r="V118" s="10"/>
    </row>
    <row r="119" spans="1:22" ht="15.75" customHeight="1">
      <c r="T119" s="10"/>
      <c r="U119" s="10"/>
      <c r="V119" s="10"/>
    </row>
    <row r="120" spans="1:22" ht="15.75" customHeight="1">
      <c r="A120" s="11"/>
      <c r="B120" s="11"/>
      <c r="D120" s="10"/>
      <c r="E120" s="10"/>
      <c r="F120" s="10"/>
      <c r="G120" s="10"/>
      <c r="H120" s="10"/>
      <c r="I120" s="9"/>
      <c r="J120" s="4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5.75" customHeight="1">
      <c r="A121" s="11"/>
      <c r="B121" s="11"/>
      <c r="D121" s="10"/>
      <c r="E121" s="10"/>
      <c r="F121" s="10"/>
      <c r="G121" s="10"/>
      <c r="H121" s="10"/>
      <c r="I121" s="9"/>
      <c r="J121" s="4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15.75" customHeight="1">
      <c r="A122" s="11"/>
      <c r="B122" s="11"/>
      <c r="D122" s="10"/>
      <c r="E122" s="10"/>
      <c r="F122" s="10"/>
      <c r="G122" s="10"/>
      <c r="H122" s="10"/>
      <c r="I122" s="9"/>
      <c r="J122" s="4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5.75" customHeight="1">
      <c r="A123" s="11"/>
      <c r="B123" s="11"/>
      <c r="D123" s="10"/>
      <c r="E123" s="10"/>
      <c r="F123" s="10"/>
      <c r="G123" s="10"/>
      <c r="H123" s="10"/>
      <c r="I123" s="9"/>
      <c r="J123" s="4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15.75" customHeight="1">
      <c r="A124" s="11"/>
      <c r="B124" s="11"/>
      <c r="D124" s="10"/>
      <c r="E124" s="10"/>
      <c r="F124" s="10"/>
      <c r="G124" s="10"/>
      <c r="H124" s="10"/>
      <c r="I124" s="9"/>
      <c r="J124" s="4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5.75" customHeight="1">
      <c r="A125" s="11"/>
      <c r="B125" s="1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5.75" customHeight="1">
      <c r="A126" s="11"/>
      <c r="B126" s="11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5.75" customHeight="1">
      <c r="A127" s="11"/>
      <c r="B127" s="11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5.75" customHeight="1">
      <c r="A128" s="11"/>
      <c r="B128" s="11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5.75" customHeight="1">
      <c r="A129" s="11"/>
      <c r="B129" s="1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5.75" customHeight="1">
      <c r="A130" s="11"/>
      <c r="B130" s="1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5.75" customHeight="1">
      <c r="A131" s="11"/>
      <c r="B131" s="11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5.75" customHeight="1">
      <c r="A132" s="11"/>
      <c r="B132" s="11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5.75" customHeight="1">
      <c r="A133" s="11"/>
      <c r="B133" s="11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5.75" customHeight="1">
      <c r="A134" s="11"/>
      <c r="B134" s="11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5.75" customHeight="1">
      <c r="A135" s="11"/>
      <c r="B135" s="11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5.75" customHeight="1">
      <c r="A136" s="11"/>
      <c r="B136" s="11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5.75" customHeight="1">
      <c r="A137" s="11"/>
      <c r="B137" s="11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5.75" customHeight="1">
      <c r="A138" s="11"/>
      <c r="B138" s="11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5.75" customHeight="1">
      <c r="A139" s="11"/>
      <c r="B139" s="11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5.75" customHeight="1">
      <c r="A140" s="11"/>
      <c r="B140" s="1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5.75" customHeight="1">
      <c r="A141" s="11"/>
      <c r="B141" s="11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5.75" customHeight="1">
      <c r="A142" s="11"/>
      <c r="B142" s="11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5.75" customHeight="1">
      <c r="A143" s="11"/>
      <c r="B143" s="1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5.75" customHeight="1">
      <c r="A144" s="11"/>
      <c r="B144" s="11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ht="15.75" customHeight="1">
      <c r="A145" s="11"/>
      <c r="B145" s="11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ht="15.75" customHeight="1">
      <c r="A146" s="11"/>
      <c r="B146" s="11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ht="15.75" customHeight="1">
      <c r="A147" s="11"/>
      <c r="B147" s="11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ht="15.75" customHeight="1">
      <c r="A148" s="11"/>
      <c r="B148" s="11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ht="15.75" customHeight="1">
      <c r="A149" s="11"/>
      <c r="B149" s="11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5.75" customHeight="1">
      <c r="A150" s="11"/>
      <c r="B150" s="1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5.75" customHeight="1">
      <c r="A151" s="11"/>
      <c r="B151" s="11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ht="15.75" customHeight="1">
      <c r="A152" s="11"/>
      <c r="B152" s="1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ht="15.75" customHeight="1">
      <c r="A153" s="11"/>
      <c r="B153" s="11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ht="15.75" customHeight="1">
      <c r="A154" s="11"/>
      <c r="B154" s="11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ht="15.75" customHeight="1">
      <c r="A155" s="11"/>
      <c r="B155" s="11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ht="15.75" customHeight="1">
      <c r="A156" s="11"/>
      <c r="B156" s="11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ht="15.75" customHeight="1">
      <c r="A157" s="11"/>
      <c r="B157" s="11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ht="15.75" customHeight="1">
      <c r="A158" s="11"/>
      <c r="B158" s="11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ht="15.75" customHeight="1">
      <c r="A159" s="11"/>
      <c r="B159" s="11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ht="15.75" customHeight="1">
      <c r="A160" s="11"/>
      <c r="B160" s="11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ht="15.75" customHeight="1">
      <c r="A161" s="11"/>
      <c r="B161" s="11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ht="15.75" customHeight="1">
      <c r="A162" s="11"/>
      <c r="B162" s="11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ht="15.75" customHeight="1">
      <c r="A163" s="11"/>
      <c r="B163" s="11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ht="15.75" customHeight="1">
      <c r="A164" s="11"/>
      <c r="B164" s="1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ht="15.75" customHeight="1">
      <c r="A165" s="11"/>
      <c r="B165" s="11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ht="15.75" customHeight="1">
      <c r="A166" s="11"/>
      <c r="B166" s="11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 ht="15.75" customHeight="1">
      <c r="A167" s="11"/>
      <c r="B167" s="11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 ht="15.75" customHeight="1">
      <c r="A168" s="11"/>
      <c r="B168" s="11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 ht="15.75" customHeight="1">
      <c r="A169" s="11"/>
      <c r="B169" s="11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ht="15.75" customHeight="1">
      <c r="A170" s="11"/>
      <c r="B170" s="11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 ht="15.75" customHeight="1">
      <c r="A171" s="11"/>
      <c r="B171" s="1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 ht="15.75" customHeight="1">
      <c r="A172" s="11"/>
      <c r="B172" s="11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 ht="15.75" customHeight="1">
      <c r="A173" s="11"/>
      <c r="B173" s="11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ht="15.75" customHeight="1">
      <c r="A174" s="11"/>
      <c r="B174" s="11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 ht="15.75" customHeight="1">
      <c r="A175" s="11"/>
      <c r="B175" s="11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 ht="15.75" customHeight="1">
      <c r="A176" s="11"/>
      <c r="B176" s="11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 ht="15.75" customHeight="1">
      <c r="A177" s="11"/>
      <c r="B177" s="11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 ht="15.75" customHeight="1">
      <c r="A178" s="11"/>
      <c r="B178" s="11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5.75" customHeight="1">
      <c r="A179" s="11"/>
      <c r="B179" s="11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 ht="15.75" customHeight="1">
      <c r="A180" s="11"/>
      <c r="B180" s="11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ht="15.75" customHeight="1">
      <c r="A181" s="11"/>
      <c r="B181" s="11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 ht="15.75" customHeight="1">
      <c r="A182" s="11"/>
      <c r="B182" s="11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 ht="15.75" customHeight="1">
      <c r="A183" s="11"/>
      <c r="B183" s="11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 ht="15.75" customHeight="1">
      <c r="A184" s="11"/>
      <c r="B184" s="11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 ht="15.75" customHeight="1">
      <c r="A185" s="11"/>
      <c r="B185" s="11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 ht="15.75" customHeight="1">
      <c r="A186" s="11"/>
      <c r="B186" s="11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 ht="15.75" customHeight="1">
      <c r="A187" s="11"/>
      <c r="B187" s="11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 ht="15.75" customHeight="1">
      <c r="A188" s="11"/>
      <c r="B188" s="11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 ht="15.75" customHeight="1">
      <c r="A189" s="11"/>
      <c r="B189" s="11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 ht="15.75" customHeight="1">
      <c r="A190" s="11"/>
      <c r="B190" s="11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 ht="15.75" customHeight="1">
      <c r="A191" s="11"/>
      <c r="B191" s="11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 ht="15.75" customHeight="1">
      <c r="A192" s="11"/>
      <c r="B192" s="11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 ht="15.75" customHeight="1">
      <c r="A193" s="11"/>
      <c r="B193" s="11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 ht="15.75" customHeight="1">
      <c r="A194" s="11"/>
      <c r="B194" s="11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 ht="15.75" customHeight="1">
      <c r="A195" s="11"/>
      <c r="B195" s="11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 ht="15.75" customHeight="1">
      <c r="A196" s="11"/>
      <c r="B196" s="11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ht="15.75" customHeight="1">
      <c r="A197" s="11"/>
      <c r="B197" s="11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ht="15.75" customHeight="1">
      <c r="A198" s="11"/>
      <c r="B198" s="11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ht="15.75" customHeight="1">
      <c r="A199" s="11"/>
      <c r="B199" s="11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5.75" customHeight="1">
      <c r="A200" s="11"/>
      <c r="B200" s="11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5.75" customHeight="1">
      <c r="A201" s="11"/>
      <c r="B201" s="11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5.75" customHeight="1">
      <c r="A202" s="11"/>
      <c r="B202" s="1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5.75" customHeight="1">
      <c r="A203" s="11"/>
      <c r="B203" s="11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5.75" customHeight="1">
      <c r="A204" s="11"/>
      <c r="B204" s="11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5.75" customHeight="1">
      <c r="A205" s="11"/>
      <c r="B205" s="11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5.75" customHeight="1">
      <c r="A206" s="11"/>
      <c r="B206" s="11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5.75" customHeight="1">
      <c r="A207" s="11"/>
      <c r="B207" s="11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5.75" customHeight="1">
      <c r="A208" s="11"/>
      <c r="B208" s="11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 ht="15.75" customHeight="1">
      <c r="A209" s="11"/>
      <c r="B209" s="11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 ht="15.75" customHeight="1">
      <c r="A210" s="11"/>
      <c r="B210" s="11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 ht="15.75" customHeight="1">
      <c r="A211" s="11"/>
      <c r="B211" s="11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 ht="15.75" customHeight="1">
      <c r="A212" s="11"/>
      <c r="B212" s="11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:22" ht="15.75" customHeight="1">
      <c r="A213" s="11"/>
      <c r="B213" s="11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ht="15.75" customHeight="1">
      <c r="A214" s="11"/>
      <c r="B214" s="11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:22" ht="15.75" customHeight="1">
      <c r="A215" s="11"/>
      <c r="B215" s="11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:22" ht="15.75" customHeight="1">
      <c r="A216" s="11"/>
      <c r="B216" s="11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:22" ht="15.75" customHeight="1">
      <c r="A217" s="11"/>
      <c r="B217" s="11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:22" ht="15.75" customHeight="1">
      <c r="A218" s="11"/>
      <c r="B218" s="11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ht="15.75" customHeight="1">
      <c r="A219" s="11"/>
      <c r="B219" s="11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:22" ht="15.75" customHeight="1">
      <c r="A220" s="11"/>
      <c r="B220" s="11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spans="1:22" ht="15.75" customHeight="1">
      <c r="A221" s="11"/>
      <c r="B221" s="11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:22" ht="15.75" customHeight="1">
      <c r="A222" s="11"/>
      <c r="B222" s="11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ht="15.75" customHeight="1">
      <c r="A223" s="11"/>
      <c r="B223" s="11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1:22" ht="15.75" customHeight="1">
      <c r="A224" s="11"/>
      <c r="B224" s="11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spans="1:22" ht="15.75" customHeight="1">
      <c r="A225" s="11"/>
      <c r="B225" s="11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spans="1:22" ht="15.75" customHeight="1">
      <c r="A226" s="11"/>
      <c r="B226" s="11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spans="1:22" ht="15.75" customHeight="1">
      <c r="A227" s="11"/>
      <c r="B227" s="11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:22" ht="15.75" customHeight="1">
      <c r="A228" s="11"/>
      <c r="B228" s="11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:22" ht="15.75" customHeight="1">
      <c r="A229" s="11"/>
      <c r="B229" s="11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spans="1:22" ht="15.75" customHeight="1">
      <c r="A230" s="11"/>
      <c r="B230" s="11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:22" ht="15.75" customHeight="1">
      <c r="A231" s="11"/>
      <c r="B231" s="11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ht="15.75" customHeight="1">
      <c r="A232" s="11"/>
      <c r="B232" s="11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 ht="15.75" customHeight="1">
      <c r="A233" s="11"/>
      <c r="B233" s="11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1:22" ht="15.75" customHeight="1">
      <c r="A234" s="11"/>
      <c r="B234" s="11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:22" ht="15.75" customHeight="1">
      <c r="A235" s="11"/>
      <c r="B235" s="11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ht="15.75" customHeight="1">
      <c r="A236" s="11"/>
      <c r="B236" s="11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:22" ht="15.75" customHeight="1">
      <c r="A237" s="11"/>
      <c r="B237" s="11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:22" ht="15.75" customHeight="1">
      <c r="A238" s="11"/>
      <c r="B238" s="11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:22" ht="15.75" customHeight="1">
      <c r="A239" s="11"/>
      <c r="B239" s="11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spans="1:22" ht="15.75" customHeight="1">
      <c r="A240" s="11"/>
      <c r="B240" s="11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spans="1:22" ht="15.75" customHeight="1">
      <c r="A241" s="11"/>
      <c r="B241" s="11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spans="1:22" ht="15.75" customHeight="1">
      <c r="A242" s="11"/>
      <c r="B242" s="11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spans="1:22" ht="15.75" customHeight="1">
      <c r="A243" s="11"/>
      <c r="B243" s="11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spans="1:22" ht="15.75" customHeight="1">
      <c r="A244" s="11"/>
      <c r="B244" s="11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spans="1:22" ht="15.75" customHeight="1">
      <c r="A245" s="11"/>
      <c r="B245" s="11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:22" ht="15.75" customHeight="1">
      <c r="A246" s="11"/>
      <c r="B246" s="11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spans="1:22" ht="15.75" customHeight="1">
      <c r="A247" s="11"/>
      <c r="B247" s="11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spans="1:22" ht="15.75" customHeight="1">
      <c r="A248" s="11"/>
      <c r="B248" s="11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spans="1:22" ht="15.75" customHeight="1">
      <c r="A249" s="11"/>
      <c r="B249" s="11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spans="1:22" ht="15.75" customHeight="1">
      <c r="A250" s="11"/>
      <c r="B250" s="11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1:22" ht="15.75" customHeight="1">
      <c r="A251" s="11"/>
      <c r="B251" s="11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spans="1:22" ht="15.75" customHeight="1">
      <c r="A252" s="11"/>
      <c r="B252" s="11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spans="1:22" ht="15.75" customHeight="1">
      <c r="A253" s="11"/>
      <c r="B253" s="11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spans="1:22" ht="15.75" customHeight="1">
      <c r="A254" s="11"/>
      <c r="B254" s="11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:22" ht="15.75" customHeight="1">
      <c r="A255" s="11"/>
      <c r="B255" s="11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ht="15.75" customHeight="1">
      <c r="A256" s="11"/>
      <c r="B256" s="11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:22" ht="15.75" customHeight="1">
      <c r="A257" s="11"/>
      <c r="B257" s="11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:22" ht="15.75" customHeight="1">
      <c r="A258" s="11"/>
      <c r="B258" s="11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:22" ht="15.75" customHeight="1">
      <c r="A259" s="11"/>
      <c r="B259" s="11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:22" ht="15.75" customHeight="1">
      <c r="A260" s="11"/>
      <c r="B260" s="11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:22" ht="15.75" customHeight="1">
      <c r="A261" s="11"/>
      <c r="B261" s="11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spans="1:22" ht="15.75" customHeight="1">
      <c r="A262" s="11"/>
      <c r="B262" s="11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spans="1:22" ht="15.75" customHeight="1">
      <c r="A263" s="11"/>
      <c r="B263" s="11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:22" ht="15.75" customHeight="1">
      <c r="A264" s="11"/>
      <c r="B264" s="11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:22" ht="15.75" customHeight="1">
      <c r="A265" s="11"/>
      <c r="B265" s="11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spans="1:22" ht="15.75" customHeight="1">
      <c r="A266" s="11"/>
      <c r="B266" s="11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ht="15.75" customHeight="1">
      <c r="A267" s="11"/>
      <c r="B267" s="11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:22" ht="15.75" customHeight="1">
      <c r="A268" s="11"/>
      <c r="B268" s="11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spans="1:22" ht="15.75" customHeight="1">
      <c r="A269" s="11"/>
      <c r="B269" s="11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spans="1:22" ht="15.75" customHeight="1">
      <c r="A270" s="11"/>
      <c r="B270" s="11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spans="1:22" ht="15.75" customHeight="1">
      <c r="A271" s="11"/>
      <c r="B271" s="11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1:22" ht="15.75" customHeight="1">
      <c r="A272" s="11"/>
      <c r="B272" s="11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spans="1:22" ht="15.75" customHeight="1">
      <c r="A273" s="11"/>
      <c r="B273" s="11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spans="1:22" ht="15.75" customHeight="1">
      <c r="A274" s="11"/>
      <c r="B274" s="11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spans="1:22" ht="15.75" customHeight="1">
      <c r="A275" s="11"/>
      <c r="B275" s="11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:22" ht="15.75" customHeight="1">
      <c r="A276" s="11"/>
      <c r="B276" s="11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1:22" ht="15.75" customHeight="1">
      <c r="A277" s="11"/>
      <c r="B277" s="11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spans="1:22" ht="15.75" customHeight="1">
      <c r="A278" s="11"/>
      <c r="B278" s="11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spans="1:22" ht="15.75" customHeight="1">
      <c r="A279" s="11"/>
      <c r="B279" s="11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spans="1:22" ht="15.75" customHeight="1">
      <c r="A280" s="11"/>
      <c r="B280" s="11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spans="1:22" ht="15.75" customHeight="1">
      <c r="A281" s="11"/>
      <c r="B281" s="11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1:22" ht="15.75" customHeight="1">
      <c r="A282" s="11"/>
      <c r="B282" s="11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spans="1:22" ht="15.75" customHeight="1">
      <c r="A283" s="11"/>
      <c r="B283" s="11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spans="1:22" ht="15.75" customHeight="1">
      <c r="A284" s="11"/>
      <c r="B284" s="11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spans="1:22" ht="15.75" customHeight="1">
      <c r="A285" s="11"/>
      <c r="B285" s="11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:22" ht="15.75" customHeight="1">
      <c r="A286" s="11"/>
      <c r="B286" s="11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1:22" ht="15.75" customHeight="1">
      <c r="A287" s="11"/>
      <c r="B287" s="11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spans="1:22" ht="15.75" customHeight="1">
      <c r="A288" s="11"/>
      <c r="B288" s="11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spans="1:22" ht="15.75" customHeight="1">
      <c r="A289" s="11"/>
      <c r="B289" s="11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spans="1:22" ht="15.75" customHeight="1">
      <c r="A290" s="11"/>
      <c r="B290" s="11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spans="1:22" ht="15.75" customHeight="1">
      <c r="A291" s="11"/>
      <c r="B291" s="11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spans="1:22" ht="15.75" customHeight="1">
      <c r="A292" s="11"/>
      <c r="B292" s="11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spans="1:22" ht="15.75" customHeight="1">
      <c r="A293" s="11"/>
      <c r="B293" s="11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spans="1:22" ht="15.75" customHeight="1">
      <c r="A294" s="11"/>
      <c r="B294" s="11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spans="1:22" ht="15.75" customHeight="1">
      <c r="A295" s="11"/>
      <c r="B295" s="11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spans="1:22" ht="15.75" customHeight="1">
      <c r="A296" s="11"/>
      <c r="B296" s="11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spans="1:22" ht="15.75" customHeight="1">
      <c r="A297" s="11"/>
      <c r="B297" s="11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1:22" ht="15.75" customHeight="1">
      <c r="A298" s="11"/>
      <c r="B298" s="11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spans="1:22" ht="15.75" customHeight="1">
      <c r="A299" s="11"/>
      <c r="B299" s="11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spans="1:22" ht="15.75" customHeight="1">
      <c r="A300" s="11"/>
      <c r="B300" s="11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spans="1:22" ht="15.75" customHeight="1">
      <c r="A301" s="11"/>
      <c r="B301" s="11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spans="1:22" ht="15.75" customHeight="1">
      <c r="A302" s="11"/>
      <c r="B302" s="11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spans="1:22" ht="15.75" customHeight="1">
      <c r="A303" s="11"/>
      <c r="B303" s="11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spans="1:22" ht="15.75" customHeight="1">
      <c r="A304" s="11"/>
      <c r="B304" s="11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spans="1:22" ht="15.75" customHeight="1">
      <c r="A305" s="11"/>
      <c r="B305" s="11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spans="1:22" ht="15.75" customHeight="1">
      <c r="A306" s="11"/>
      <c r="B306" s="11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spans="1:22" ht="15.75" customHeight="1">
      <c r="A307" s="11"/>
      <c r="B307" s="11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1:22" ht="15.75" customHeight="1">
      <c r="A308" s="11"/>
      <c r="B308" s="11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spans="1:22" ht="15.75" customHeight="1">
      <c r="A309" s="11"/>
      <c r="B309" s="11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spans="1:22" ht="15.75" customHeight="1">
      <c r="A310" s="11"/>
      <c r="B310" s="11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spans="1:22" ht="15.75" customHeight="1">
      <c r="A311" s="11"/>
      <c r="B311" s="11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spans="1:22" ht="15.75" customHeight="1">
      <c r="A312" s="11"/>
      <c r="B312" s="11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1:22" ht="15.75" customHeight="1">
      <c r="A313" s="11"/>
      <c r="B313" s="11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spans="1:22" ht="15.75" customHeight="1">
      <c r="A314" s="11"/>
      <c r="B314" s="11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spans="1:22" ht="15.75" customHeight="1">
      <c r="A315" s="11"/>
      <c r="B315" s="11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spans="1:22" ht="15.75" customHeight="1">
      <c r="A316" s="11"/>
      <c r="B316" s="11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spans="1:22" ht="15.75" customHeight="1">
      <c r="A317" s="11"/>
      <c r="B317" s="11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spans="1:22" ht="15.75" customHeight="1">
      <c r="A318" s="11"/>
      <c r="B318" s="11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spans="1:22" ht="15.75" customHeight="1">
      <c r="A319" s="11"/>
      <c r="B319" s="11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spans="1:22" ht="15.75" customHeight="1">
      <c r="A320" s="11"/>
      <c r="B320" s="11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spans="1:22" ht="15.75" customHeight="1">
      <c r="A321" s="11"/>
      <c r="B321" s="11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spans="1:22" ht="15.75" customHeight="1">
      <c r="A322" s="11"/>
      <c r="B322" s="11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spans="1:22" ht="15.75" customHeight="1">
      <c r="A323" s="11"/>
      <c r="B323" s="11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spans="1:22" ht="15.75" customHeight="1">
      <c r="A324" s="11"/>
      <c r="B324" s="11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spans="1:22" ht="15.75" customHeight="1">
      <c r="A325" s="11"/>
      <c r="B325" s="11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spans="1:22" ht="15.75" customHeight="1">
      <c r="A326" s="11"/>
      <c r="B326" s="11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spans="1:22" ht="15.75" customHeight="1">
      <c r="A327" s="11"/>
      <c r="B327" s="11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spans="1:22" ht="15.75" customHeight="1">
      <c r="A328" s="11"/>
      <c r="B328" s="11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spans="1:22" ht="15.75" customHeight="1">
      <c r="A329" s="11"/>
      <c r="B329" s="11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:22" ht="15.75" customHeight="1">
      <c r="A330" s="11"/>
      <c r="B330" s="11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spans="1:22" ht="15.75" customHeight="1">
      <c r="A331" s="11"/>
      <c r="B331" s="11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spans="1:22" ht="15.75" customHeight="1">
      <c r="A332" s="11"/>
      <c r="B332" s="11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spans="1:22" ht="15.75" customHeight="1">
      <c r="A333" s="11"/>
      <c r="B333" s="11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spans="1:22" ht="15.75" customHeight="1">
      <c r="A334" s="11"/>
      <c r="B334" s="11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spans="1:22" ht="15.75" customHeight="1">
      <c r="A335" s="11"/>
      <c r="B335" s="11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spans="1:22" ht="15.75" customHeight="1">
      <c r="A336" s="11"/>
      <c r="B336" s="11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spans="1:22" ht="15.75" customHeight="1">
      <c r="A337" s="11"/>
      <c r="B337" s="11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spans="1:22" ht="15.75" customHeight="1">
      <c r="A338" s="11"/>
      <c r="B338" s="11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spans="1:22" ht="15.75" customHeight="1">
      <c r="A339" s="11"/>
      <c r="B339" s="11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1:22" ht="15.75" customHeight="1">
      <c r="A340" s="11"/>
      <c r="B340" s="11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spans="1:22" ht="15.75" customHeight="1">
      <c r="A341" s="11"/>
      <c r="B341" s="11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spans="1:22" ht="15.75" customHeight="1">
      <c r="A342" s="11"/>
      <c r="B342" s="11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spans="1:22" ht="15.75" customHeight="1">
      <c r="A343" s="11"/>
      <c r="B343" s="11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spans="1:22" ht="15.75" customHeight="1">
      <c r="A344" s="11"/>
      <c r="B344" s="11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1:22" ht="15.75" customHeight="1">
      <c r="A345" s="11"/>
      <c r="B345" s="11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spans="1:22" ht="15.75" customHeight="1">
      <c r="A346" s="11"/>
      <c r="B346" s="11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spans="1:22" ht="15.75" customHeight="1">
      <c r="A347" s="11"/>
      <c r="B347" s="11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spans="1:22" ht="15.75" customHeight="1">
      <c r="A348" s="11"/>
      <c r="B348" s="11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spans="1:22" ht="15.75" customHeight="1">
      <c r="A349" s="11"/>
      <c r="B349" s="11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spans="1:22" ht="15.75" customHeight="1">
      <c r="A350" s="11"/>
      <c r="B350" s="11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spans="1:22" ht="15.75" customHeight="1">
      <c r="A351" s="11"/>
      <c r="B351" s="11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spans="1:22" ht="15.75" customHeight="1">
      <c r="A352" s="11"/>
      <c r="B352" s="11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spans="1:22" ht="15.75" customHeight="1">
      <c r="A353" s="11"/>
      <c r="B353" s="11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1:22" ht="15.75" customHeight="1">
      <c r="A354" s="11"/>
      <c r="B354" s="11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spans="1:22" ht="15.75" customHeight="1">
      <c r="A355" s="11"/>
      <c r="B355" s="11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spans="1:22" ht="15.75" customHeight="1">
      <c r="A356" s="11"/>
      <c r="B356" s="11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spans="1:22" ht="15.75" customHeight="1">
      <c r="A357" s="11"/>
      <c r="B357" s="11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spans="1:22" ht="15.75" customHeight="1">
      <c r="A358" s="11"/>
      <c r="B358" s="11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spans="1:22" ht="15.75" customHeight="1">
      <c r="A359" s="11"/>
      <c r="B359" s="11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spans="1:22" ht="15.75" customHeight="1">
      <c r="A360" s="11"/>
      <c r="B360" s="11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spans="1:22" ht="15.75" customHeight="1">
      <c r="A361" s="11"/>
      <c r="B361" s="11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spans="1:22" ht="15.75" customHeight="1">
      <c r="A362" s="11"/>
      <c r="B362" s="11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spans="1:22" ht="15.75" customHeight="1">
      <c r="A363" s="11"/>
      <c r="B363" s="11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1:22" ht="15.75" customHeight="1">
      <c r="A364" s="11"/>
      <c r="B364" s="11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spans="1:22" ht="15.75" customHeight="1">
      <c r="A365" s="11"/>
      <c r="B365" s="11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spans="1:22" ht="15.75" customHeight="1">
      <c r="A366" s="11"/>
      <c r="B366" s="11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spans="1:22" ht="15.75" customHeight="1">
      <c r="A367" s="11"/>
      <c r="B367" s="11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spans="1:22" ht="15.75" customHeight="1">
      <c r="A368" s="11"/>
      <c r="B368" s="11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spans="1:22" ht="15.75" customHeight="1">
      <c r="A369" s="11"/>
      <c r="B369" s="11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spans="1:22" ht="15.75" customHeight="1">
      <c r="A370" s="11"/>
      <c r="B370" s="11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:22" ht="15.75" customHeight="1">
      <c r="A371" s="11"/>
      <c r="B371" s="11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spans="1:22" ht="15.75" customHeight="1">
      <c r="A372" s="11"/>
      <c r="B372" s="11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spans="1:22" ht="15.75" customHeight="1">
      <c r="A373" s="11"/>
      <c r="B373" s="11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spans="1:22" ht="15.75" customHeight="1">
      <c r="A374" s="11"/>
      <c r="B374" s="11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spans="1:22" ht="15.75" customHeight="1">
      <c r="A375" s="11"/>
      <c r="B375" s="11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:22" ht="15.75" customHeight="1">
      <c r="A376" s="11"/>
      <c r="B376" s="11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spans="1:22" ht="15.75" customHeight="1">
      <c r="A377" s="11"/>
      <c r="B377" s="11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spans="1:22" ht="15.75" customHeight="1">
      <c r="A378" s="11"/>
      <c r="B378" s="11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spans="1:22" ht="15.75" customHeight="1">
      <c r="A379" s="11"/>
      <c r="B379" s="11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spans="1:22" ht="15.75" customHeight="1">
      <c r="A380" s="11"/>
      <c r="B380" s="11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1:22" ht="15.75" customHeight="1">
      <c r="A381" s="11"/>
      <c r="B381" s="11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spans="1:22" ht="15.75" customHeight="1">
      <c r="A382" s="11"/>
      <c r="B382" s="11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spans="1:22" ht="15.75" customHeight="1">
      <c r="A383" s="11"/>
      <c r="B383" s="11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spans="1:22" ht="15.75" customHeight="1">
      <c r="A384" s="11"/>
      <c r="B384" s="11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:22" ht="15.75" customHeight="1">
      <c r="A385" s="11"/>
      <c r="B385" s="11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1:22" ht="15.75" customHeight="1">
      <c r="A386" s="11"/>
      <c r="B386" s="11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spans="1:22" ht="15.75" customHeight="1">
      <c r="A387" s="11"/>
      <c r="B387" s="11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spans="1:22" ht="15.75" customHeight="1">
      <c r="A388" s="11"/>
      <c r="B388" s="11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spans="1:22" ht="15.75" customHeight="1">
      <c r="A389" s="11"/>
      <c r="B389" s="11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spans="1:22" ht="15.75" customHeight="1">
      <c r="A390" s="11"/>
      <c r="B390" s="11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spans="1:22" ht="15.75" customHeight="1">
      <c r="A391" s="11"/>
      <c r="B391" s="11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1:22" ht="15.75" customHeight="1">
      <c r="A392" s="11"/>
      <c r="B392" s="11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spans="1:22" ht="15.75" customHeight="1">
      <c r="A393" s="11"/>
      <c r="B393" s="11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spans="1:22" ht="15.75" customHeight="1">
      <c r="A394" s="11"/>
      <c r="B394" s="11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spans="1:22" ht="15.75" customHeight="1">
      <c r="A395" s="11"/>
      <c r="B395" s="11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spans="1:22" ht="15.75" customHeight="1">
      <c r="A396" s="11"/>
      <c r="B396" s="11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spans="1:22" ht="15.75" customHeight="1">
      <c r="A397" s="11"/>
      <c r="B397" s="11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spans="1:22" ht="15.75" customHeight="1">
      <c r="A398" s="11"/>
      <c r="B398" s="11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spans="1:22" ht="15.75" customHeight="1">
      <c r="A399" s="11"/>
      <c r="B399" s="11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spans="1:22" ht="15.75" customHeight="1">
      <c r="A400" s="11"/>
      <c r="B400" s="11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spans="1:22" ht="15.75" customHeight="1">
      <c r="A401" s="11"/>
      <c r="B401" s="11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1:22" ht="15.75" customHeight="1">
      <c r="A402" s="11"/>
      <c r="B402" s="11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spans="1:22" ht="15.75" customHeight="1">
      <c r="A403" s="11"/>
      <c r="B403" s="11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spans="1:22" ht="15.75" customHeight="1">
      <c r="A404" s="11"/>
      <c r="B404" s="11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spans="1:22" ht="15.75" customHeight="1">
      <c r="A405" s="11"/>
      <c r="B405" s="11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spans="1:22" ht="15.75" customHeight="1">
      <c r="A406" s="11"/>
      <c r="B406" s="11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spans="1:22" ht="15.75" customHeight="1">
      <c r="A407" s="11"/>
      <c r="B407" s="11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spans="1:22" ht="15.75" customHeight="1">
      <c r="A408" s="11"/>
      <c r="B408" s="11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spans="1:22" ht="15.75" customHeight="1">
      <c r="A409" s="11"/>
      <c r="B409" s="11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spans="1:22" ht="15.75" customHeight="1">
      <c r="A410" s="11"/>
      <c r="B410" s="11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spans="1:22" ht="15.75" customHeight="1">
      <c r="A411" s="11"/>
      <c r="B411" s="11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spans="1:22" ht="15.75" customHeight="1">
      <c r="A412" s="11"/>
      <c r="B412" s="11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spans="1:22" ht="15.75" customHeight="1">
      <c r="A413" s="11"/>
      <c r="B413" s="11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spans="1:22" ht="15.75" customHeight="1">
      <c r="A414" s="11"/>
      <c r="B414" s="11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spans="1:22" ht="15.75" customHeight="1">
      <c r="A415" s="11"/>
      <c r="B415" s="11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spans="1:22" ht="15.75" customHeight="1">
      <c r="A416" s="11"/>
      <c r="B416" s="11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spans="1:22" ht="15.75" customHeight="1">
      <c r="A417" s="11"/>
      <c r="B417" s="11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spans="1:22" ht="15.75" customHeight="1">
      <c r="A418" s="11"/>
      <c r="B418" s="11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spans="1:22" ht="15.75" customHeight="1">
      <c r="A419" s="11"/>
      <c r="B419" s="11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spans="1:22" ht="15.75" customHeight="1">
      <c r="A420" s="11"/>
      <c r="B420" s="11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spans="1:22" ht="15.75" customHeight="1">
      <c r="A421" s="11"/>
      <c r="B421" s="11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spans="1:22" ht="15.75" customHeight="1">
      <c r="A422" s="11"/>
      <c r="B422" s="11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spans="1:22" ht="15.75" customHeight="1">
      <c r="A423" s="11"/>
      <c r="B423" s="11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:22" ht="15.75" customHeight="1">
      <c r="A424" s="11"/>
      <c r="B424" s="11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spans="1:22" ht="15.75" customHeight="1">
      <c r="A425" s="11"/>
      <c r="B425" s="11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spans="1:22" ht="15.75" customHeight="1">
      <c r="A426" s="11"/>
      <c r="B426" s="11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spans="1:22" ht="15.75" customHeight="1">
      <c r="A427" s="11"/>
      <c r="B427" s="11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spans="1:22" ht="15.75" customHeight="1">
      <c r="A428" s="11"/>
      <c r="B428" s="11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spans="1:22" ht="15.75" customHeight="1">
      <c r="A429" s="11"/>
      <c r="B429" s="11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spans="1:22" ht="15.75" customHeight="1">
      <c r="A430" s="11"/>
      <c r="B430" s="11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spans="1:22" ht="15.75" customHeight="1">
      <c r="A431" s="11"/>
      <c r="B431" s="11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spans="1:22" ht="15.75" customHeight="1">
      <c r="A432" s="11"/>
      <c r="B432" s="11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spans="1:22" ht="15.75" customHeight="1">
      <c r="A433" s="11"/>
      <c r="B433" s="11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1:22" ht="15.75" customHeight="1">
      <c r="A434" s="11"/>
      <c r="B434" s="11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spans="1:22" ht="15.75" customHeight="1">
      <c r="A435" s="11"/>
      <c r="B435" s="11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spans="1:22" ht="15.75" customHeight="1">
      <c r="A436" s="11"/>
      <c r="B436" s="11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spans="1:22" ht="15.75" customHeight="1">
      <c r="A437" s="11"/>
      <c r="B437" s="11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spans="1:22" ht="15.75" customHeight="1">
      <c r="A438" s="11"/>
      <c r="B438" s="11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1:22" ht="15.75" customHeight="1">
      <c r="A439" s="11"/>
      <c r="B439" s="11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spans="1:22" ht="15.75" customHeight="1">
      <c r="A440" s="11"/>
      <c r="B440" s="11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spans="1:22" ht="15.75" customHeight="1">
      <c r="A441" s="11"/>
      <c r="B441" s="11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spans="1:22" ht="15.75" customHeight="1">
      <c r="A442" s="11"/>
      <c r="B442" s="11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spans="1:22" ht="15.75" customHeight="1">
      <c r="A443" s="11"/>
      <c r="B443" s="11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spans="1:22" ht="15.75" customHeight="1">
      <c r="A444" s="11"/>
      <c r="B444" s="11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:22" ht="15.75" customHeight="1">
      <c r="A445" s="11"/>
      <c r="B445" s="11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:22" ht="15.75" customHeight="1">
      <c r="A446" s="11"/>
      <c r="B446" s="11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spans="1:22" ht="15.75" customHeight="1">
      <c r="A447" s="11"/>
      <c r="B447" s="11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spans="1:22" ht="15.75" customHeight="1">
      <c r="A448" s="11"/>
      <c r="B448" s="11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1:22" ht="15.75" customHeight="1">
      <c r="A449" s="11"/>
      <c r="B449" s="11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:22" ht="15.75" customHeight="1">
      <c r="A450" s="11"/>
      <c r="B450" s="11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spans="1:22" ht="15.75" customHeight="1">
      <c r="A451" s="11"/>
      <c r="B451" s="11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spans="1:22" ht="15.75" customHeight="1">
      <c r="A452" s="11"/>
      <c r="B452" s="11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spans="1:22" ht="15.75" customHeight="1">
      <c r="A453" s="11"/>
      <c r="B453" s="11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spans="1:22" ht="15.75" customHeight="1">
      <c r="A454" s="11"/>
      <c r="B454" s="11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1:22" ht="15.75" customHeight="1">
      <c r="A455" s="11"/>
      <c r="B455" s="11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spans="1:22" ht="15.75" customHeight="1">
      <c r="A456" s="11"/>
      <c r="B456" s="11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spans="1:22" ht="15.75" customHeight="1">
      <c r="A457" s="11"/>
      <c r="B457" s="11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spans="1:22" ht="15.75" customHeight="1">
      <c r="A458" s="11"/>
      <c r="B458" s="11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spans="1:22" ht="15.75" customHeight="1">
      <c r="A459" s="11"/>
      <c r="B459" s="11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spans="1:22" ht="15.75" customHeight="1">
      <c r="A460" s="11"/>
      <c r="B460" s="11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spans="1:22" ht="15.75" customHeight="1">
      <c r="A461" s="11"/>
      <c r="B461" s="11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spans="1:22" ht="15.75" customHeight="1">
      <c r="A462" s="11"/>
      <c r="B462" s="11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spans="1:22" ht="15.75" customHeight="1">
      <c r="A463" s="11"/>
      <c r="B463" s="11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spans="1:22" ht="15.75" customHeight="1">
      <c r="A464" s="11"/>
      <c r="B464" s="11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:22" ht="15.75" customHeight="1">
      <c r="A465" s="11"/>
      <c r="B465" s="11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spans="1:22" ht="15.75" customHeight="1">
      <c r="A466" s="11"/>
      <c r="B466" s="11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spans="1:22" ht="15.75" customHeight="1">
      <c r="A467" s="11"/>
      <c r="B467" s="11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spans="1:22" ht="15.75" customHeight="1">
      <c r="A468" s="11"/>
      <c r="B468" s="11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spans="1:22" ht="15.75" customHeight="1">
      <c r="A469" s="11"/>
      <c r="B469" s="11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:22" ht="15.75" customHeight="1">
      <c r="A470" s="11"/>
      <c r="B470" s="11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spans="1:22" ht="15.75" customHeight="1">
      <c r="A471" s="11"/>
      <c r="B471" s="11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spans="1:22" ht="15.75" customHeight="1">
      <c r="A472" s="11"/>
      <c r="B472" s="11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spans="1:22" ht="15.75" customHeight="1">
      <c r="A473" s="11"/>
      <c r="B473" s="11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spans="1:22" ht="15.75" customHeight="1">
      <c r="A474" s="11"/>
      <c r="B474" s="11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spans="1:22" ht="15.75" customHeight="1">
      <c r="A475" s="11"/>
      <c r="B475" s="11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spans="1:22" ht="15.75" customHeight="1">
      <c r="A476" s="11"/>
      <c r="B476" s="11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spans="1:22" ht="15.75" customHeight="1">
      <c r="A477" s="11"/>
      <c r="B477" s="11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spans="1:22" ht="15.75" customHeight="1">
      <c r="A478" s="11"/>
      <c r="B478" s="11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spans="1:22" ht="15.75" customHeight="1">
      <c r="A479" s="11"/>
      <c r="B479" s="11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1:22" ht="15.75" customHeight="1">
      <c r="A480" s="11"/>
      <c r="B480" s="11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spans="1:22" ht="15.75" customHeight="1">
      <c r="A481" s="11"/>
      <c r="B481" s="11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spans="1:22" ht="15.75" customHeight="1">
      <c r="A482" s="11"/>
      <c r="B482" s="11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spans="1:22" ht="15.75" customHeight="1">
      <c r="A483" s="11"/>
      <c r="B483" s="11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spans="1:22" ht="15.75" customHeight="1">
      <c r="A484" s="11"/>
      <c r="B484" s="11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spans="1:22" ht="15.75" customHeight="1">
      <c r="A485" s="11"/>
      <c r="B485" s="11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1:22" ht="15.75" customHeight="1">
      <c r="A486" s="11"/>
      <c r="B486" s="11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spans="1:22" ht="15.75" customHeight="1">
      <c r="A487" s="11"/>
      <c r="B487" s="11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spans="1:22" ht="15.75" customHeight="1">
      <c r="A488" s="11"/>
      <c r="B488" s="11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spans="1:22" ht="15.75" customHeight="1">
      <c r="A489" s="11"/>
      <c r="B489" s="11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spans="1:22" ht="15.75" customHeight="1">
      <c r="A490" s="11"/>
      <c r="B490" s="11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spans="1:22" ht="15.75" customHeight="1">
      <c r="A491" s="11"/>
      <c r="B491" s="11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spans="1:22" ht="15.75" customHeight="1">
      <c r="A492" s="11"/>
      <c r="B492" s="11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spans="1:22" ht="15.75" customHeight="1">
      <c r="A493" s="11"/>
      <c r="B493" s="11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spans="1:22" ht="15.75" customHeight="1">
      <c r="A494" s="11"/>
      <c r="B494" s="11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spans="1:22" ht="15.75" customHeight="1">
      <c r="A495" s="11"/>
      <c r="B495" s="11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1:22" ht="15.75" customHeight="1">
      <c r="A496" s="11"/>
      <c r="B496" s="11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spans="1:22" ht="15.75" customHeight="1">
      <c r="A497" s="11"/>
      <c r="B497" s="11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spans="1:22" ht="15.75" customHeight="1">
      <c r="A498" s="11"/>
      <c r="B498" s="11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spans="1:22" ht="15.75" customHeight="1">
      <c r="A499" s="11"/>
      <c r="B499" s="11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spans="1:22" ht="15.75" customHeight="1">
      <c r="A500" s="11"/>
      <c r="B500" s="11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1:22" ht="15.75" customHeight="1">
      <c r="A501" s="11"/>
      <c r="B501" s="11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spans="1:22" ht="15.75" customHeight="1">
      <c r="A502" s="11"/>
      <c r="B502" s="11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spans="1:22" ht="15.75" customHeight="1">
      <c r="A503" s="11"/>
      <c r="B503" s="11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spans="1:22" ht="15.75" customHeight="1">
      <c r="A504" s="11"/>
      <c r="B504" s="11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spans="1:22" ht="15.75" customHeight="1">
      <c r="A505" s="11"/>
      <c r="B505" s="11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spans="1:22" ht="15.75" customHeight="1">
      <c r="A506" s="11"/>
      <c r="B506" s="11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spans="1:22" ht="15.75" customHeight="1">
      <c r="A507" s="11"/>
      <c r="B507" s="11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spans="1:22" ht="15.75" customHeight="1">
      <c r="A508" s="11"/>
      <c r="B508" s="11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spans="1:22" ht="15.75" customHeight="1">
      <c r="A509" s="11"/>
      <c r="B509" s="11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spans="1:22" ht="15.75" customHeight="1">
      <c r="A510" s="11"/>
      <c r="B510" s="11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spans="1:22" ht="15.75" customHeight="1">
      <c r="A511" s="11"/>
      <c r="B511" s="11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spans="1:22" ht="15.75" customHeight="1">
      <c r="A512" s="11"/>
      <c r="B512" s="11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spans="1:22" ht="15.75" customHeight="1">
      <c r="A513" s="11"/>
      <c r="B513" s="11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spans="1:22" ht="15.75" customHeight="1">
      <c r="A514" s="11"/>
      <c r="B514" s="11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spans="1:22" ht="15.75" customHeight="1">
      <c r="A515" s="11"/>
      <c r="B515" s="11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spans="1:22" ht="15.75" customHeight="1">
      <c r="A516" s="11"/>
      <c r="B516" s="11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spans="1:22" ht="15.75" customHeight="1">
      <c r="A517" s="11"/>
      <c r="B517" s="11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:22" ht="15.75" customHeight="1">
      <c r="A518" s="11"/>
      <c r="B518" s="11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spans="1:22" ht="15.75" customHeight="1">
      <c r="A519" s="11"/>
      <c r="B519" s="11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spans="1:22" ht="15.75" customHeight="1">
      <c r="A520" s="11"/>
      <c r="B520" s="11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spans="1:22" ht="15.75" customHeight="1">
      <c r="A521" s="11"/>
      <c r="B521" s="11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spans="1:22" ht="15.75" customHeight="1">
      <c r="A522" s="11"/>
      <c r="B522" s="11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spans="1:22" ht="15.75" customHeight="1">
      <c r="A523" s="11"/>
      <c r="B523" s="11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spans="1:22" ht="15.75" customHeight="1">
      <c r="A524" s="11"/>
      <c r="B524" s="11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spans="1:22" ht="15.75" customHeight="1">
      <c r="A525" s="11"/>
      <c r="B525" s="11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spans="1:22" ht="15.75" customHeight="1">
      <c r="A526" s="11"/>
      <c r="B526" s="11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spans="1:22" ht="15.75" customHeight="1">
      <c r="A527" s="11"/>
      <c r="B527" s="11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 ht="15.75" customHeight="1">
      <c r="A528" s="11"/>
      <c r="B528" s="11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spans="1:22" ht="15.75" customHeight="1">
      <c r="A529" s="11"/>
      <c r="B529" s="11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spans="1:22" ht="15.75" customHeight="1">
      <c r="A530" s="11"/>
      <c r="B530" s="11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spans="1:22" ht="15.75" customHeight="1">
      <c r="A531" s="11"/>
      <c r="B531" s="11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spans="1:22" ht="15.75" customHeight="1">
      <c r="A532" s="11"/>
      <c r="B532" s="11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:22" ht="15.75" customHeight="1">
      <c r="A533" s="11"/>
      <c r="B533" s="11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spans="1:22" ht="15.75" customHeight="1">
      <c r="A534" s="11"/>
      <c r="B534" s="11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spans="1:22" ht="15.75" customHeight="1">
      <c r="A535" s="11"/>
      <c r="B535" s="11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spans="1:22" ht="15.75" customHeight="1">
      <c r="A536" s="11"/>
      <c r="B536" s="11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spans="1:22" ht="15.75" customHeight="1">
      <c r="A537" s="11"/>
      <c r="B537" s="11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spans="1:22" ht="15.75" customHeight="1">
      <c r="A538" s="11"/>
      <c r="B538" s="11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spans="1:22" ht="15.75" customHeight="1">
      <c r="A539" s="11"/>
      <c r="B539" s="11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spans="1:22" ht="15.75" customHeight="1">
      <c r="A540" s="11"/>
      <c r="B540" s="11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spans="1:22" ht="15.75" customHeight="1">
      <c r="A541" s="11"/>
      <c r="B541" s="11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spans="1:22" ht="15.75" customHeight="1">
      <c r="A542" s="11"/>
      <c r="B542" s="11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spans="1:22" ht="15.75" customHeight="1">
      <c r="A543" s="11"/>
      <c r="B543" s="11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spans="1:22" ht="15.75" customHeight="1">
      <c r="A544" s="11"/>
      <c r="B544" s="11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spans="1:22" ht="15.75" customHeight="1">
      <c r="A545" s="11"/>
      <c r="B545" s="11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:22" ht="15.75" customHeight="1">
      <c r="A546" s="11"/>
      <c r="B546" s="11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spans="1:22" ht="15.75" customHeight="1">
      <c r="A547" s="11"/>
      <c r="B547" s="11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spans="1:22" ht="15.75" customHeight="1">
      <c r="A548" s="11"/>
      <c r="B548" s="11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1:22" ht="15.75" customHeight="1">
      <c r="A549" s="11"/>
      <c r="B549" s="11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spans="1:22" ht="15.75" customHeight="1">
      <c r="A550" s="11"/>
      <c r="B550" s="11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spans="1:22" ht="15.75" customHeight="1">
      <c r="A551" s="11"/>
      <c r="B551" s="11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spans="1:22" ht="15.75" customHeight="1">
      <c r="A552" s="11"/>
      <c r="B552" s="11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spans="1:22" ht="15.75" customHeight="1">
      <c r="A553" s="11"/>
      <c r="B553" s="11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spans="1:22" ht="15.75" customHeight="1">
      <c r="A554" s="11"/>
      <c r="B554" s="11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spans="1:22" ht="15.75" customHeight="1">
      <c r="A555" s="11"/>
      <c r="B555" s="11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spans="1:22" ht="15.75" customHeight="1">
      <c r="A556" s="11"/>
      <c r="B556" s="11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spans="1:22" ht="15.75" customHeight="1">
      <c r="A557" s="11"/>
      <c r="B557" s="11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spans="1:22" ht="15.75" customHeight="1">
      <c r="A558" s="11"/>
      <c r="B558" s="11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1:22" ht="15.75" customHeight="1">
      <c r="A559" s="11"/>
      <c r="B559" s="11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spans="1:22" ht="15.75" customHeight="1">
      <c r="A560" s="11"/>
      <c r="B560" s="11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spans="1:22" ht="15.75" customHeight="1">
      <c r="A561" s="11"/>
      <c r="B561" s="11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spans="1:22" ht="15.75" customHeight="1">
      <c r="A562" s="11"/>
      <c r="B562" s="11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spans="1:22" ht="15.75" customHeight="1">
      <c r="A563" s="11"/>
      <c r="B563" s="11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1:22" ht="15.75" customHeight="1">
      <c r="A564" s="11"/>
      <c r="B564" s="11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spans="1:22" ht="15.75" customHeight="1">
      <c r="A565" s="11"/>
      <c r="B565" s="11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spans="1:22" ht="15.75" customHeight="1">
      <c r="A566" s="11"/>
      <c r="B566" s="11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spans="1:22" ht="15.75" customHeight="1">
      <c r="A567" s="11"/>
      <c r="B567" s="11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spans="1:22" ht="15.75" customHeight="1">
      <c r="A568" s="11"/>
      <c r="B568" s="11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1:22" ht="15.75" customHeight="1">
      <c r="A569" s="11"/>
      <c r="B569" s="11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spans="1:22" ht="15.75" customHeight="1">
      <c r="A570" s="11"/>
      <c r="B570" s="11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spans="1:22" ht="15.75" customHeight="1">
      <c r="A571" s="11"/>
      <c r="B571" s="11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spans="1:22" ht="15.75" customHeight="1">
      <c r="A572" s="11"/>
      <c r="B572" s="11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spans="1:22" ht="15.75" customHeight="1">
      <c r="A573" s="11"/>
      <c r="B573" s="11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1:22" ht="15.75" customHeight="1">
      <c r="A574" s="11"/>
      <c r="B574" s="11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spans="1:22" ht="15.75" customHeight="1">
      <c r="A575" s="11"/>
      <c r="B575" s="11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spans="1:22" ht="15.75" customHeight="1">
      <c r="A576" s="11"/>
      <c r="B576" s="11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spans="1:22" ht="15.75" customHeight="1">
      <c r="A577" s="11"/>
      <c r="B577" s="11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spans="1:22" ht="15.75" customHeight="1">
      <c r="A578" s="11"/>
      <c r="B578" s="11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spans="1:22" ht="15.75" customHeight="1">
      <c r="A579" s="11"/>
      <c r="B579" s="11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 ht="15.75" customHeight="1">
      <c r="A580" s="11"/>
      <c r="B580" s="11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spans="1:22" ht="15.75" customHeight="1">
      <c r="A581" s="11"/>
      <c r="B581" s="11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spans="1:22" ht="15.75" customHeight="1">
      <c r="A582" s="11"/>
      <c r="B582" s="11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spans="1:22" ht="15.75" customHeight="1">
      <c r="A583" s="11"/>
      <c r="B583" s="11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spans="1:22" ht="15.75" customHeight="1">
      <c r="A584" s="11"/>
      <c r="B584" s="11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spans="1:22" ht="15.75" customHeight="1">
      <c r="A585" s="11"/>
      <c r="B585" s="11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spans="1:22" ht="15.75" customHeight="1">
      <c r="A586" s="11"/>
      <c r="B586" s="11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spans="1:22" ht="15.75" customHeight="1">
      <c r="A587" s="11"/>
      <c r="B587" s="11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spans="1:22" ht="15.75" customHeight="1">
      <c r="A588" s="11"/>
      <c r="B588" s="11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spans="1:22" ht="15.75" customHeight="1">
      <c r="A589" s="11"/>
      <c r="B589" s="11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1:22" ht="15.75" customHeight="1">
      <c r="A590" s="11"/>
      <c r="B590" s="11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spans="1:22" ht="15.75" customHeight="1">
      <c r="A591" s="11"/>
      <c r="B591" s="11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spans="1:22" ht="15.75" customHeight="1">
      <c r="A592" s="11"/>
      <c r="B592" s="11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spans="1:22" ht="15.75" customHeight="1">
      <c r="A593" s="11"/>
      <c r="B593" s="11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spans="1:22" ht="15.75" customHeight="1">
      <c r="A594" s="11"/>
      <c r="B594" s="11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spans="1:22" ht="15.75" customHeight="1">
      <c r="A595" s="11"/>
      <c r="B595" s="11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spans="1:22" ht="15.75" customHeight="1">
      <c r="A596" s="11"/>
      <c r="B596" s="11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spans="1:22" ht="15.75" customHeight="1">
      <c r="A597" s="11"/>
      <c r="B597" s="11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spans="1:22" ht="15.75" customHeight="1">
      <c r="A598" s="11"/>
      <c r="B598" s="11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spans="1:22" ht="15.75" customHeight="1">
      <c r="A599" s="11"/>
      <c r="B599" s="11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spans="1:22" ht="15.75" customHeight="1">
      <c r="A600" s="11"/>
      <c r="B600" s="11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spans="1:22" ht="15.75" customHeight="1">
      <c r="A601" s="11"/>
      <c r="B601" s="11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spans="1:22" ht="15.75" customHeight="1">
      <c r="A602" s="11"/>
      <c r="B602" s="11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spans="1:22" ht="15.75" customHeight="1">
      <c r="A603" s="11"/>
      <c r="B603" s="11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spans="1:22" ht="15.75" customHeight="1">
      <c r="A604" s="11"/>
      <c r="B604" s="11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spans="1:22" ht="15.75" customHeight="1">
      <c r="A605" s="11"/>
      <c r="B605" s="11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spans="1:22" ht="15.75" customHeight="1">
      <c r="A606" s="11"/>
      <c r="B606" s="11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spans="1:22" ht="15.75" customHeight="1">
      <c r="A607" s="11"/>
      <c r="B607" s="11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spans="1:22" ht="15.75" customHeight="1">
      <c r="A608" s="11"/>
      <c r="B608" s="11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spans="1:22" ht="15.75" customHeight="1">
      <c r="A609" s="11"/>
      <c r="B609" s="11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spans="1:22" ht="15.75" customHeight="1">
      <c r="A610" s="11"/>
      <c r="B610" s="11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spans="1:22" ht="15.75" customHeight="1">
      <c r="A611" s="11"/>
      <c r="B611" s="11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spans="1:22" ht="15.75" customHeight="1">
      <c r="A612" s="11"/>
      <c r="B612" s="11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spans="1:22" ht="15.75" customHeight="1">
      <c r="A613" s="11"/>
      <c r="B613" s="11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spans="1:22" ht="15.75" customHeight="1">
      <c r="A614" s="11"/>
      <c r="B614" s="11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spans="1:22" ht="15.75" customHeight="1">
      <c r="A615" s="11"/>
      <c r="B615" s="11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spans="1:22" ht="15.75" customHeight="1">
      <c r="A616" s="11"/>
      <c r="B616" s="11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spans="1:22" ht="15.75" customHeight="1">
      <c r="A617" s="11"/>
      <c r="B617" s="11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spans="1:22" ht="15.75" customHeight="1">
      <c r="A618" s="11"/>
      <c r="B618" s="11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spans="1:22" ht="15.75" customHeight="1">
      <c r="A619" s="11"/>
      <c r="B619" s="11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spans="1:22" ht="15.75" customHeight="1">
      <c r="A620" s="11"/>
      <c r="B620" s="11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spans="1:22" ht="15.75" customHeight="1">
      <c r="A621" s="11"/>
      <c r="B621" s="11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:22" ht="15.75" customHeight="1">
      <c r="A622" s="11"/>
      <c r="B622" s="11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spans="1:22" ht="15.75" customHeight="1">
      <c r="A623" s="11"/>
      <c r="B623" s="11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spans="1:22" ht="15.75" customHeight="1">
      <c r="A624" s="11"/>
      <c r="B624" s="11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spans="1:22" ht="15.75" customHeight="1">
      <c r="A625" s="11"/>
      <c r="B625" s="11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spans="1:22" ht="15.75" customHeight="1">
      <c r="A626" s="11"/>
      <c r="B626" s="11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spans="1:22" ht="15.75" customHeight="1">
      <c r="A627" s="11"/>
      <c r="B627" s="11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spans="1:22" ht="15.75" customHeight="1">
      <c r="A628" s="11"/>
      <c r="B628" s="11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spans="1:22" ht="15.75" customHeight="1">
      <c r="A629" s="11"/>
      <c r="B629" s="11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spans="1:22" ht="15.75" customHeight="1">
      <c r="A630" s="11"/>
      <c r="B630" s="11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spans="1:22" ht="15.75" customHeight="1">
      <c r="A631" s="11"/>
      <c r="B631" s="11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spans="1:22" ht="15.75" customHeight="1">
      <c r="A632" s="11"/>
      <c r="B632" s="11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spans="1:22" ht="15.75" customHeight="1">
      <c r="A633" s="11"/>
      <c r="B633" s="11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spans="1:22" ht="15.75" customHeight="1">
      <c r="A634" s="11"/>
      <c r="B634" s="11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spans="1:22" ht="15.75" customHeight="1">
      <c r="A635" s="11"/>
      <c r="B635" s="11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spans="1:22" ht="15.75" customHeight="1">
      <c r="A636" s="11"/>
      <c r="B636" s="11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spans="1:22" ht="15.75" customHeight="1">
      <c r="A637" s="11"/>
      <c r="B637" s="11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spans="1:22" ht="15.75" customHeight="1">
      <c r="A638" s="11"/>
      <c r="B638" s="11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spans="1:22" ht="15.75" customHeight="1">
      <c r="A639" s="11"/>
      <c r="B639" s="11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spans="1:22" ht="15.75" customHeight="1">
      <c r="A640" s="11"/>
      <c r="B640" s="11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spans="1:22" ht="15.75" customHeight="1">
      <c r="A641" s="11"/>
      <c r="B641" s="11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spans="1:22" ht="15.75" customHeight="1">
      <c r="A642" s="11"/>
      <c r="B642" s="11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spans="1:22" ht="15.75" customHeight="1">
      <c r="A643" s="11"/>
      <c r="B643" s="11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spans="1:22" ht="15.75" customHeight="1">
      <c r="A644" s="11"/>
      <c r="B644" s="11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spans="1:22" ht="15.75" customHeight="1">
      <c r="A645" s="11"/>
      <c r="B645" s="11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spans="1:22" ht="15.75" customHeight="1">
      <c r="A646" s="11"/>
      <c r="B646" s="11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spans="1:22" ht="15.75" customHeight="1">
      <c r="A647" s="11"/>
      <c r="B647" s="11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spans="1:22" ht="15.75" customHeight="1">
      <c r="A648" s="11"/>
      <c r="B648" s="11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spans="1:22" ht="15.75" customHeight="1">
      <c r="A649" s="11"/>
      <c r="B649" s="11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spans="1:22" ht="15.75" customHeight="1">
      <c r="A650" s="11"/>
      <c r="B650" s="11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spans="1:22" ht="15.75" customHeight="1">
      <c r="A651" s="11"/>
      <c r="B651" s="11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spans="1:22" ht="15.75" customHeight="1">
      <c r="A652" s="11"/>
      <c r="B652" s="11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1:22" ht="15.75" customHeight="1">
      <c r="A653" s="11"/>
      <c r="B653" s="11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spans="1:22" ht="15.75" customHeight="1">
      <c r="A654" s="11"/>
      <c r="B654" s="11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spans="1:22" ht="15.75" customHeight="1">
      <c r="A655" s="11"/>
      <c r="B655" s="11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spans="1:22" ht="15.75" customHeight="1">
      <c r="A656" s="11"/>
      <c r="B656" s="11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spans="1:22" ht="15.75" customHeight="1">
      <c r="A657" s="11"/>
      <c r="B657" s="11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spans="1:22" ht="15.75" customHeight="1">
      <c r="A658" s="11"/>
      <c r="B658" s="11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spans="1:22" ht="15.75" customHeight="1">
      <c r="A659" s="11"/>
      <c r="B659" s="11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spans="1:22" ht="15.75" customHeight="1">
      <c r="A660" s="11"/>
      <c r="B660" s="11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spans="1:22" ht="15.75" customHeight="1">
      <c r="A661" s="11"/>
      <c r="B661" s="11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spans="1:22" ht="15.75" customHeight="1">
      <c r="A662" s="11"/>
      <c r="B662" s="11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spans="1:22" ht="15.75" customHeight="1">
      <c r="A663" s="11"/>
      <c r="B663" s="11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spans="1:22" ht="15.75" customHeight="1">
      <c r="A664" s="11"/>
      <c r="B664" s="11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spans="1:22" ht="15.75" customHeight="1">
      <c r="A665" s="11"/>
      <c r="B665" s="11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spans="1:22" ht="15.75" customHeight="1">
      <c r="A666" s="11"/>
      <c r="B666" s="11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spans="1:22" ht="15.75" customHeight="1">
      <c r="A667" s="11"/>
      <c r="B667" s="11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spans="1:22" ht="15.75" customHeight="1">
      <c r="A668" s="11"/>
      <c r="B668" s="11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spans="1:22" ht="15.75" customHeight="1">
      <c r="A669" s="11"/>
      <c r="B669" s="11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spans="1:22" ht="15.75" customHeight="1">
      <c r="A670" s="11"/>
      <c r="B670" s="11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spans="1:22" ht="15.75" customHeight="1">
      <c r="A671" s="11"/>
      <c r="B671" s="11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spans="1:22" ht="15.75" customHeight="1">
      <c r="A672" s="11"/>
      <c r="B672" s="11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spans="1:22" ht="15.75" customHeight="1">
      <c r="A673" s="11"/>
      <c r="B673" s="11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spans="1:22" ht="15.75" customHeight="1">
      <c r="A674" s="11"/>
      <c r="B674" s="11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spans="1:22" ht="15.75" customHeight="1">
      <c r="A675" s="11"/>
      <c r="B675" s="11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spans="1:22" ht="15.75" customHeight="1">
      <c r="A676" s="11"/>
      <c r="B676" s="11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spans="1:22" ht="15.75" customHeight="1">
      <c r="A677" s="11"/>
      <c r="B677" s="11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spans="1:22" ht="15.75" customHeight="1">
      <c r="A678" s="11"/>
      <c r="B678" s="11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spans="1:22" ht="15.75" customHeight="1">
      <c r="A679" s="11"/>
      <c r="B679" s="11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spans="1:22" ht="15.75" customHeight="1">
      <c r="A680" s="11"/>
      <c r="B680" s="11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spans="1:22" ht="15.75" customHeight="1">
      <c r="A681" s="11"/>
      <c r="B681" s="11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spans="1:22" ht="15.75" customHeight="1">
      <c r="A682" s="11"/>
      <c r="B682" s="11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spans="1:22" ht="15.75" customHeight="1">
      <c r="A683" s="11"/>
      <c r="B683" s="11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1:22" ht="15.75" customHeight="1">
      <c r="A684" s="11"/>
      <c r="B684" s="11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spans="1:22" ht="15.75" customHeight="1">
      <c r="A685" s="11"/>
      <c r="B685" s="11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spans="1:22" ht="15.75" customHeight="1">
      <c r="A686" s="11"/>
      <c r="B686" s="11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spans="1:22" ht="15.75" customHeight="1">
      <c r="A687" s="11"/>
      <c r="B687" s="11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spans="1:22" ht="15.75" customHeight="1">
      <c r="A688" s="11"/>
      <c r="B688" s="11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spans="1:22" ht="15.75" customHeight="1">
      <c r="A689" s="11"/>
      <c r="B689" s="11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spans="1:22" ht="15.75" customHeight="1">
      <c r="A690" s="11"/>
      <c r="B690" s="11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spans="1:22" ht="15.75" customHeight="1">
      <c r="A691" s="11"/>
      <c r="B691" s="11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spans="1:22" ht="15.75" customHeight="1">
      <c r="A692" s="11"/>
      <c r="B692" s="11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spans="1:22" ht="15.75" customHeight="1">
      <c r="A693" s="11"/>
      <c r="B693" s="11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spans="1:22" ht="15.75" customHeight="1">
      <c r="A694" s="11"/>
      <c r="B694" s="11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spans="1:22" ht="15.75" customHeight="1">
      <c r="A695" s="11"/>
      <c r="B695" s="11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spans="1:22" ht="15.75" customHeight="1">
      <c r="A696" s="11"/>
      <c r="B696" s="11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spans="1:22" ht="15.75" customHeight="1">
      <c r="A697" s="11"/>
      <c r="B697" s="11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spans="1:22" ht="15.75" customHeight="1">
      <c r="A698" s="11"/>
      <c r="B698" s="11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spans="1:22" ht="15.75" customHeight="1">
      <c r="A699" s="11"/>
      <c r="B699" s="11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spans="1:22" ht="15.75" customHeight="1">
      <c r="A700" s="11"/>
      <c r="B700" s="11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spans="1:22" ht="15.75" customHeight="1">
      <c r="A701" s="11"/>
      <c r="B701" s="11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spans="1:22" ht="15.75" customHeight="1">
      <c r="A702" s="11"/>
      <c r="B702" s="11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spans="1:22" ht="15.75" customHeight="1">
      <c r="A703" s="11"/>
      <c r="B703" s="11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spans="1:22" ht="15.75" customHeight="1">
      <c r="A704" s="11"/>
      <c r="B704" s="11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spans="1:22" ht="15.75" customHeight="1">
      <c r="A705" s="11"/>
      <c r="B705" s="11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spans="1:22" ht="15.75" customHeight="1">
      <c r="A706" s="11"/>
      <c r="B706" s="11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spans="1:22" ht="15.75" customHeight="1">
      <c r="A707" s="11"/>
      <c r="B707" s="11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spans="1:22" ht="15.75" customHeight="1">
      <c r="A708" s="11"/>
      <c r="B708" s="11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spans="1:22" ht="15.75" customHeight="1">
      <c r="A709" s="11"/>
      <c r="B709" s="11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spans="1:22" ht="15.75" customHeight="1">
      <c r="A710" s="11"/>
      <c r="B710" s="11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spans="1:22" ht="15.75" customHeight="1">
      <c r="A711" s="11"/>
      <c r="B711" s="11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spans="1:22" ht="15.75" customHeight="1">
      <c r="A712" s="11"/>
      <c r="B712" s="11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spans="1:22" ht="15.75" customHeight="1">
      <c r="A713" s="11"/>
      <c r="B713" s="11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spans="1:22" ht="15.75" customHeight="1">
      <c r="A714" s="11"/>
      <c r="B714" s="11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spans="1:22" ht="15.75" customHeight="1">
      <c r="A715" s="11"/>
      <c r="B715" s="11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1:22" ht="15.75" customHeight="1">
      <c r="A716" s="11"/>
      <c r="B716" s="11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spans="1:22" ht="15.75" customHeight="1">
      <c r="A717" s="11"/>
      <c r="B717" s="11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spans="1:22" ht="15.75" customHeight="1">
      <c r="A718" s="11"/>
      <c r="B718" s="11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spans="1:22" ht="15.75" customHeight="1">
      <c r="A719" s="11"/>
      <c r="B719" s="11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spans="1:22" ht="15.75" customHeight="1">
      <c r="A720" s="11"/>
      <c r="B720" s="11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spans="1:22" ht="15.75" customHeight="1">
      <c r="A721" s="11"/>
      <c r="B721" s="11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spans="1:22" ht="15.75" customHeight="1">
      <c r="A722" s="11"/>
      <c r="B722" s="11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spans="1:22" ht="15.75" customHeight="1">
      <c r="A723" s="11"/>
      <c r="B723" s="11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spans="1:22" ht="15.75" customHeight="1">
      <c r="A724" s="11"/>
      <c r="B724" s="11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spans="1:22" ht="15.75" customHeight="1">
      <c r="A725" s="11"/>
      <c r="B725" s="11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spans="1:22" ht="15.75" customHeight="1">
      <c r="A726" s="11"/>
      <c r="B726" s="11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spans="1:22" ht="15.75" customHeight="1">
      <c r="A727" s="11"/>
      <c r="B727" s="11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spans="1:22" ht="15.75" customHeight="1">
      <c r="A728" s="11"/>
      <c r="B728" s="11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spans="1:22" ht="15.75" customHeight="1">
      <c r="A729" s="11"/>
      <c r="B729" s="11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spans="1:22" ht="15.75" customHeight="1">
      <c r="A730" s="11"/>
      <c r="B730" s="11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spans="1:22" ht="15.75" customHeight="1">
      <c r="A731" s="11"/>
      <c r="B731" s="11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spans="1:22" ht="15.75" customHeight="1">
      <c r="A732" s="11"/>
      <c r="B732" s="11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spans="1:22" ht="15.75" customHeight="1">
      <c r="A733" s="11"/>
      <c r="B733" s="11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spans="1:22" ht="15.75" customHeight="1">
      <c r="A734" s="11"/>
      <c r="B734" s="11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spans="1:22" ht="15.75" customHeight="1">
      <c r="A735" s="11"/>
      <c r="B735" s="11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spans="1:22" ht="15.75" customHeight="1">
      <c r="A736" s="11"/>
      <c r="B736" s="11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:22" ht="15.75" customHeight="1">
      <c r="A737" s="11"/>
      <c r="B737" s="11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spans="1:22" ht="15.75" customHeight="1">
      <c r="A738" s="11"/>
      <c r="B738" s="11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spans="1:22" ht="15.75" customHeight="1">
      <c r="A739" s="11"/>
      <c r="B739" s="11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spans="1:22" ht="15.75" customHeight="1">
      <c r="A740" s="11"/>
      <c r="B740" s="11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spans="1:22" ht="15.75" customHeight="1">
      <c r="A741" s="11"/>
      <c r="B741" s="11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spans="1:22" ht="15.75" customHeight="1">
      <c r="A742" s="11"/>
      <c r="B742" s="11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spans="1:22" ht="15.75" customHeight="1">
      <c r="A743" s="11"/>
      <c r="B743" s="11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spans="1:22" ht="15.75" customHeight="1">
      <c r="A744" s="11"/>
      <c r="B744" s="11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spans="1:22" ht="15.75" customHeight="1">
      <c r="A745" s="11"/>
      <c r="B745" s="11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spans="1:22" ht="15.75" customHeight="1">
      <c r="A746" s="11"/>
      <c r="B746" s="11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:22" ht="15.75" customHeight="1">
      <c r="A747" s="11"/>
      <c r="B747" s="11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spans="1:22" ht="15.75" customHeight="1">
      <c r="A748" s="11"/>
      <c r="B748" s="11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spans="1:22" ht="15.75" customHeight="1">
      <c r="A749" s="11"/>
      <c r="B749" s="11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spans="1:22" ht="15.75" customHeight="1">
      <c r="A750" s="11"/>
      <c r="B750" s="11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spans="1:22" ht="15.75" customHeight="1">
      <c r="A751" s="11"/>
      <c r="B751" s="11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spans="1:22" ht="15.75" customHeight="1">
      <c r="A752" s="11"/>
      <c r="B752" s="11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spans="1:22" ht="15.75" customHeight="1">
      <c r="A753" s="11"/>
      <c r="B753" s="11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spans="1:22" ht="15.75" customHeight="1">
      <c r="A754" s="11"/>
      <c r="B754" s="11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spans="1:22" ht="15.75" customHeight="1">
      <c r="A755" s="11"/>
      <c r="B755" s="11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spans="1:22" ht="15.75" customHeight="1">
      <c r="A756" s="11"/>
      <c r="B756" s="11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spans="1:22" ht="15.75" customHeight="1">
      <c r="A757" s="11"/>
      <c r="B757" s="11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spans="1:22" ht="15.75" customHeight="1">
      <c r="A758" s="11"/>
      <c r="B758" s="11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spans="1:22" ht="15.75" customHeight="1">
      <c r="A759" s="11"/>
      <c r="B759" s="11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spans="1:22" ht="15.75" customHeight="1">
      <c r="A760" s="11"/>
      <c r="B760" s="11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spans="1:22" ht="15.75" customHeight="1">
      <c r="A761" s="11"/>
      <c r="B761" s="11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spans="1:22" ht="15.75" customHeight="1">
      <c r="A762" s="11"/>
      <c r="B762" s="11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spans="1:22" ht="15.75" customHeight="1">
      <c r="A763" s="11"/>
      <c r="B763" s="11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spans="1:22" ht="15.75" customHeight="1">
      <c r="A764" s="11"/>
      <c r="B764" s="11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spans="1:22" ht="15.75" customHeight="1">
      <c r="A765" s="11"/>
      <c r="B765" s="11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spans="1:22" ht="15.75" customHeight="1">
      <c r="A766" s="11"/>
      <c r="B766" s="11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spans="1:22" ht="15.75" customHeight="1">
      <c r="A767" s="11"/>
      <c r="B767" s="11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spans="1:22" ht="15.75" customHeight="1">
      <c r="A768" s="11"/>
      <c r="B768" s="11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spans="1:22" ht="15.75" customHeight="1">
      <c r="A769" s="11"/>
      <c r="B769" s="11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spans="1:22" ht="15.75" customHeight="1">
      <c r="A770" s="11"/>
      <c r="B770" s="11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spans="1:22" ht="15.75" customHeight="1">
      <c r="A771" s="11"/>
      <c r="B771" s="11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spans="1:22" ht="15.75" customHeight="1">
      <c r="A772" s="11"/>
      <c r="B772" s="11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spans="1:22" ht="15.75" customHeight="1">
      <c r="A773" s="11"/>
      <c r="B773" s="11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spans="1:22" ht="15.75" customHeight="1">
      <c r="A774" s="11"/>
      <c r="B774" s="11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spans="1:22" ht="15.75" customHeight="1">
      <c r="A775" s="11"/>
      <c r="B775" s="11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spans="1:22" ht="15.75" customHeight="1">
      <c r="A776" s="11"/>
      <c r="B776" s="11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spans="1:22" ht="15.75" customHeight="1">
      <c r="A777" s="11"/>
      <c r="B777" s="11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1:22" ht="15.75" customHeight="1">
      <c r="A778" s="11"/>
      <c r="B778" s="11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spans="1:22" ht="15.75" customHeight="1">
      <c r="A779" s="11"/>
      <c r="B779" s="11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spans="1:22" ht="15.75" customHeight="1">
      <c r="A780" s="11"/>
      <c r="B780" s="11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spans="1:22" ht="15.75" customHeight="1">
      <c r="A781" s="11"/>
      <c r="B781" s="11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spans="1:22" ht="15.75" customHeight="1">
      <c r="A782" s="11"/>
      <c r="B782" s="11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spans="1:22" ht="15.75" customHeight="1">
      <c r="A783" s="11"/>
      <c r="B783" s="11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spans="1:22" ht="15.75" customHeight="1">
      <c r="A784" s="11"/>
      <c r="B784" s="11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spans="1:22" ht="15.75" customHeight="1">
      <c r="A785" s="11"/>
      <c r="B785" s="11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spans="1:22" ht="15.75" customHeight="1">
      <c r="A786" s="11"/>
      <c r="B786" s="11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spans="1:22" ht="15.75" customHeight="1">
      <c r="A787" s="11"/>
      <c r="B787" s="11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spans="1:22" ht="15.75" customHeight="1">
      <c r="A788" s="11"/>
      <c r="B788" s="11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spans="1:22" ht="15.75" customHeight="1">
      <c r="A789" s="11"/>
      <c r="B789" s="11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spans="1:22" ht="15.75" customHeight="1">
      <c r="A790" s="11"/>
      <c r="B790" s="11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spans="1:22" ht="15.75" customHeight="1">
      <c r="A791" s="11"/>
      <c r="B791" s="11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spans="1:22" ht="15.75" customHeight="1">
      <c r="A792" s="11"/>
      <c r="B792" s="11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spans="1:22" ht="15.75" customHeight="1">
      <c r="A793" s="11"/>
      <c r="B793" s="11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spans="1:22" ht="15.75" customHeight="1">
      <c r="A794" s="11"/>
      <c r="B794" s="11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spans="1:22" ht="15.75" customHeight="1">
      <c r="A795" s="11"/>
      <c r="B795" s="11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spans="1:22" ht="15.75" customHeight="1">
      <c r="A796" s="11"/>
      <c r="B796" s="11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spans="1:22" ht="15.75" customHeight="1">
      <c r="A797" s="11"/>
      <c r="B797" s="11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spans="1:22" ht="15.75" customHeight="1">
      <c r="A798" s="11"/>
      <c r="B798" s="11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spans="1:22" ht="15.75" customHeight="1">
      <c r="A799" s="11"/>
      <c r="B799" s="11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spans="1:22" ht="15.75" customHeight="1">
      <c r="A800" s="11"/>
      <c r="B800" s="11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spans="1:22" ht="15.75" customHeight="1">
      <c r="A801" s="11"/>
      <c r="B801" s="11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spans="1:22" ht="15.75" customHeight="1">
      <c r="A802" s="11"/>
      <c r="B802" s="11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spans="1:22" ht="15.75" customHeight="1">
      <c r="A803" s="11"/>
      <c r="B803" s="11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spans="1:22" ht="15.75" customHeight="1">
      <c r="A804" s="11"/>
      <c r="B804" s="11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spans="1:22" ht="15.75" customHeight="1">
      <c r="A805" s="11"/>
      <c r="B805" s="11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spans="1:22" ht="15.75" customHeight="1">
      <c r="A806" s="11"/>
      <c r="B806" s="11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spans="1:22" ht="15.75" customHeight="1">
      <c r="A807" s="11"/>
      <c r="B807" s="11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spans="1:22" ht="15.75" customHeight="1">
      <c r="A808" s="11"/>
      <c r="B808" s="11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spans="1:22" ht="15.75" customHeight="1">
      <c r="A809" s="11"/>
      <c r="B809" s="11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1:22" ht="15.75" customHeight="1">
      <c r="A810" s="11"/>
      <c r="B810" s="11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spans="1:22" ht="15.75" customHeight="1">
      <c r="A811" s="11"/>
      <c r="B811" s="11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spans="1:22" ht="15.75" customHeight="1">
      <c r="A812" s="11"/>
      <c r="B812" s="11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spans="1:22" ht="15.75" customHeight="1">
      <c r="A813" s="11"/>
      <c r="B813" s="11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spans="1:22" ht="15.75" customHeight="1">
      <c r="A814" s="11"/>
      <c r="B814" s="11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1:22" ht="15.75" customHeight="1">
      <c r="A815" s="11"/>
      <c r="B815" s="11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spans="1:22" ht="15.75" customHeight="1">
      <c r="A816" s="11"/>
      <c r="B816" s="11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spans="1:22" ht="15.75" customHeight="1">
      <c r="A817" s="11"/>
      <c r="B817" s="11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spans="1:22" ht="15.75" customHeight="1">
      <c r="A818" s="11"/>
      <c r="B818" s="11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spans="1:22" ht="15.75" customHeight="1">
      <c r="A819" s="11"/>
      <c r="B819" s="11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spans="1:22" ht="15.75" customHeight="1">
      <c r="A820" s="11"/>
      <c r="B820" s="11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spans="1:22" ht="15.75" customHeight="1">
      <c r="A821" s="11"/>
      <c r="B821" s="11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spans="1:22" ht="15.75" customHeight="1">
      <c r="A822" s="11"/>
      <c r="B822" s="11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spans="1:22" ht="15.75" customHeight="1">
      <c r="A823" s="11"/>
      <c r="B823" s="11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spans="1:22" ht="15.75" customHeight="1">
      <c r="A824" s="11"/>
      <c r="B824" s="11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spans="1:22" ht="15.75" customHeight="1">
      <c r="A825" s="11"/>
      <c r="B825" s="11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spans="1:22" ht="15.75" customHeight="1">
      <c r="A826" s="11"/>
      <c r="B826" s="11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spans="1:22" ht="15.75" customHeight="1">
      <c r="A827" s="11"/>
      <c r="B827" s="11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spans="1:22" ht="15.75" customHeight="1">
      <c r="A828" s="11"/>
      <c r="B828" s="11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spans="1:22" ht="15.75" customHeight="1">
      <c r="A829" s="11"/>
      <c r="B829" s="11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spans="1:22" ht="15.75" customHeight="1">
      <c r="A830" s="11"/>
      <c r="B830" s="11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spans="1:22" ht="15.75" customHeight="1">
      <c r="A831" s="11"/>
      <c r="B831" s="11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spans="1:22" ht="15.75" customHeight="1">
      <c r="A832" s="11"/>
      <c r="B832" s="11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spans="1:22" ht="15.75" customHeight="1">
      <c r="A833" s="11"/>
      <c r="B833" s="11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spans="1:22" ht="15.75" customHeight="1">
      <c r="A834" s="11"/>
      <c r="B834" s="11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spans="1:22" ht="15.75" customHeight="1">
      <c r="A835" s="11"/>
      <c r="B835" s="11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spans="1:22" ht="15.75" customHeight="1">
      <c r="A836" s="11"/>
      <c r="B836" s="11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spans="1:22" ht="15.75" customHeight="1">
      <c r="A837" s="11"/>
      <c r="B837" s="11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spans="1:22" ht="15.75" customHeight="1">
      <c r="A838" s="11"/>
      <c r="B838" s="11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spans="1:22" ht="15.75" customHeight="1">
      <c r="A839" s="11"/>
      <c r="B839" s="11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spans="1:22" ht="15.75" customHeight="1">
      <c r="A840" s="11"/>
      <c r="B840" s="11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1:22" ht="15.75" customHeight="1">
      <c r="A841" s="11"/>
      <c r="B841" s="11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spans="1:22" ht="15.75" customHeight="1">
      <c r="A842" s="11"/>
      <c r="B842" s="11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spans="1:22" ht="15.75" customHeight="1">
      <c r="A843" s="11"/>
      <c r="B843" s="11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spans="1:22" ht="15.75" customHeight="1">
      <c r="A844" s="11"/>
      <c r="B844" s="11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spans="1:22" ht="15.75" customHeight="1">
      <c r="A845" s="11"/>
      <c r="B845" s="11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spans="1:22" ht="15.75" customHeight="1">
      <c r="A846" s="11"/>
      <c r="B846" s="11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spans="1:22" ht="15.75" customHeight="1">
      <c r="A847" s="11"/>
      <c r="B847" s="11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spans="1:22" ht="15.75" customHeight="1">
      <c r="A848" s="11"/>
      <c r="B848" s="11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spans="1:22" ht="15.75" customHeight="1">
      <c r="A849" s="11"/>
      <c r="B849" s="11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spans="1:22" ht="15.75" customHeight="1">
      <c r="A850" s="11"/>
      <c r="B850" s="11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spans="1:22" ht="15.75" customHeight="1">
      <c r="A851" s="11"/>
      <c r="B851" s="11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spans="1:22" ht="15.75" customHeight="1">
      <c r="A852" s="11"/>
      <c r="B852" s="11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spans="1:22" ht="15.75" customHeight="1">
      <c r="A853" s="11"/>
      <c r="B853" s="11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spans="1:22" ht="15.75" customHeight="1">
      <c r="A854" s="11"/>
      <c r="B854" s="11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spans="1:22" ht="15.75" customHeight="1">
      <c r="A855" s="11"/>
      <c r="B855" s="11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spans="1:22" ht="15.75" customHeight="1">
      <c r="A856" s="11"/>
      <c r="B856" s="11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spans="1:22" ht="15.75" customHeight="1">
      <c r="A857" s="11"/>
      <c r="B857" s="11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spans="1:22" ht="15.75" customHeight="1">
      <c r="A858" s="11"/>
      <c r="B858" s="11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spans="1:22" ht="15.75" customHeight="1">
      <c r="A859" s="11"/>
      <c r="B859" s="11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spans="1:22" ht="15.75" customHeight="1">
      <c r="A860" s="11"/>
      <c r="B860" s="11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spans="1:22" ht="15.75" customHeight="1">
      <c r="A861" s="11"/>
      <c r="B861" s="11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1:22" ht="15.75" customHeight="1">
      <c r="A862" s="11"/>
      <c r="B862" s="11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spans="1:22" ht="15.75" customHeight="1">
      <c r="A863" s="11"/>
      <c r="B863" s="11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spans="1:22" ht="15.75" customHeight="1">
      <c r="A864" s="11"/>
      <c r="B864" s="11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spans="1:22" ht="15.75" customHeight="1">
      <c r="A865" s="11"/>
      <c r="B865" s="11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spans="1:22" ht="15.75" customHeight="1">
      <c r="A866" s="11"/>
      <c r="B866" s="11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spans="1:22" ht="15.75" customHeight="1">
      <c r="A867" s="11"/>
      <c r="B867" s="11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spans="1:22" ht="15.75" customHeight="1">
      <c r="A868" s="11"/>
      <c r="B868" s="11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spans="1:22" ht="15.75" customHeight="1">
      <c r="A869" s="11"/>
      <c r="B869" s="11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spans="1:22" ht="15.75" customHeight="1">
      <c r="A870" s="11"/>
      <c r="B870" s="11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spans="1:22" ht="15.75" customHeight="1">
      <c r="A871" s="11"/>
      <c r="B871" s="11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1:22" ht="15.75" customHeight="1">
      <c r="A872" s="11"/>
      <c r="B872" s="11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spans="1:22" ht="15.75" customHeight="1">
      <c r="A873" s="11"/>
      <c r="B873" s="11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spans="1:22" ht="15.75" customHeight="1">
      <c r="A874" s="11"/>
      <c r="B874" s="11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spans="1:22" ht="15.75" customHeight="1">
      <c r="A875" s="11"/>
      <c r="B875" s="11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spans="1:22" ht="15.75" customHeight="1">
      <c r="A876" s="11"/>
      <c r="B876" s="11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1:22" ht="15.75" customHeight="1">
      <c r="A877" s="11"/>
      <c r="B877" s="11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spans="1:22" ht="15.75" customHeight="1">
      <c r="A878" s="11"/>
      <c r="B878" s="11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spans="1:22" ht="15.75" customHeight="1">
      <c r="A879" s="11"/>
      <c r="B879" s="11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spans="1:22" ht="15.75" customHeight="1">
      <c r="A880" s="11"/>
      <c r="B880" s="11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spans="1:22" ht="15.75" customHeight="1">
      <c r="A881" s="11"/>
      <c r="B881" s="11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spans="1:22" ht="15.75" customHeight="1">
      <c r="A882" s="11"/>
      <c r="B882" s="11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spans="1:22" ht="15.75" customHeight="1">
      <c r="A883" s="11"/>
      <c r="B883" s="11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spans="1:22" ht="15.75" customHeight="1">
      <c r="A884" s="11"/>
      <c r="B884" s="11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spans="1:22" ht="15.75" customHeight="1">
      <c r="A885" s="11"/>
      <c r="B885" s="11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spans="1:22" ht="15.75" customHeight="1">
      <c r="A886" s="11"/>
      <c r="B886" s="11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spans="1:22" ht="15.75" customHeight="1">
      <c r="A887" s="11"/>
      <c r="B887" s="11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spans="1:22" ht="15.75" customHeight="1">
      <c r="A888" s="11"/>
      <c r="B888" s="11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spans="1:22" ht="15.75" customHeight="1">
      <c r="A889" s="11"/>
      <c r="B889" s="11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spans="1:22" ht="15.75" customHeight="1">
      <c r="A890" s="11"/>
      <c r="B890" s="11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spans="1:22" ht="15.75" customHeight="1">
      <c r="A891" s="11"/>
      <c r="B891" s="11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spans="1:22" ht="15.75" customHeight="1">
      <c r="A892" s="11"/>
      <c r="B892" s="11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spans="1:22" ht="15.75" customHeight="1">
      <c r="A893" s="11"/>
      <c r="B893" s="11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1:22" ht="15.75" customHeight="1">
      <c r="A894" s="11"/>
      <c r="B894" s="11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spans="1:22" ht="15.75" customHeight="1">
      <c r="A895" s="11"/>
      <c r="B895" s="11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spans="1:22" ht="15.75" customHeight="1">
      <c r="A896" s="11"/>
      <c r="B896" s="11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spans="1:22" ht="15.75" customHeight="1">
      <c r="A897" s="11"/>
      <c r="B897" s="11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spans="1:22" ht="15.75" customHeight="1">
      <c r="A898" s="11"/>
      <c r="B898" s="11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spans="1:22" ht="15.75" customHeight="1">
      <c r="A899" s="11"/>
      <c r="B899" s="11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spans="1:22" ht="15.75" customHeight="1">
      <c r="A900" s="11"/>
      <c r="B900" s="11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spans="1:22" ht="15.75" customHeight="1">
      <c r="A901" s="11"/>
      <c r="B901" s="11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spans="1:22" ht="15.75" customHeight="1">
      <c r="A902" s="11"/>
      <c r="B902" s="11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spans="1:22" ht="15.75" customHeight="1">
      <c r="A903" s="11"/>
      <c r="B903" s="11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:22" ht="15.75" customHeight="1">
      <c r="A904" s="11"/>
      <c r="B904" s="11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spans="1:22" ht="15.75" customHeight="1">
      <c r="A905" s="11"/>
      <c r="B905" s="11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spans="1:22" ht="15.75" customHeight="1">
      <c r="A906" s="11"/>
      <c r="B906" s="11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spans="1:22" ht="15.75" customHeight="1">
      <c r="A907" s="11"/>
      <c r="B907" s="11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spans="1:22" ht="15.75" customHeight="1">
      <c r="A908" s="11"/>
      <c r="B908" s="11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1:22" ht="15.75" customHeight="1">
      <c r="A909" s="11"/>
      <c r="B909" s="11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spans="1:22" ht="15.75" customHeight="1">
      <c r="A910" s="11"/>
      <c r="B910" s="11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spans="1:22" ht="15.75" customHeight="1">
      <c r="A911" s="11"/>
      <c r="B911" s="11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spans="1:22" ht="15.75" customHeight="1">
      <c r="A912" s="11"/>
      <c r="B912" s="11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spans="1:22" ht="15.75" customHeight="1">
      <c r="A913" s="11"/>
      <c r="B913" s="11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spans="1:22" ht="15.75" customHeight="1">
      <c r="A914" s="11"/>
      <c r="B914" s="11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spans="1:22" ht="15.75" customHeight="1">
      <c r="A915" s="11"/>
      <c r="B915" s="11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spans="1:22" ht="15.75" customHeight="1">
      <c r="A916" s="11"/>
      <c r="B916" s="11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spans="1:22" ht="15.75" customHeight="1">
      <c r="A917" s="11"/>
      <c r="B917" s="11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spans="1:22" ht="15.75" customHeight="1">
      <c r="A918" s="11"/>
      <c r="B918" s="11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spans="1:22" ht="15.75" customHeight="1">
      <c r="A919" s="11"/>
      <c r="B919" s="11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spans="1:22" ht="15.75" customHeight="1">
      <c r="A920" s="11"/>
      <c r="B920" s="11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spans="1:22" ht="15.75" customHeight="1">
      <c r="A921" s="11"/>
      <c r="B921" s="11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spans="1:22" ht="15.75" customHeight="1">
      <c r="A922" s="11"/>
      <c r="B922" s="11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spans="1:22" ht="15.75" customHeight="1">
      <c r="A923" s="11"/>
      <c r="B923" s="11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spans="1:22" ht="15.75" customHeight="1">
      <c r="A924" s="11"/>
      <c r="B924" s="11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1:22" ht="15.75" customHeight="1">
      <c r="A925" s="11"/>
      <c r="B925" s="11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spans="1:22" ht="15.75" customHeight="1">
      <c r="A926" s="11"/>
      <c r="B926" s="11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spans="1:22" ht="15.75" customHeight="1">
      <c r="A927" s="11"/>
      <c r="B927" s="11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spans="1:22" ht="15.75" customHeight="1">
      <c r="A928" s="11"/>
      <c r="B928" s="11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spans="1:22" ht="15.75" customHeight="1">
      <c r="A929" s="11"/>
      <c r="B929" s="11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spans="1:22" ht="15.75" customHeight="1">
      <c r="A930" s="11"/>
      <c r="B930" s="11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spans="1:22" ht="15.75" customHeight="1">
      <c r="A931" s="11"/>
      <c r="B931" s="11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spans="1:22" ht="15.75" customHeight="1">
      <c r="A932" s="11"/>
      <c r="B932" s="11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spans="1:22" ht="15.75" customHeight="1">
      <c r="A933" s="11"/>
      <c r="B933" s="11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spans="1:22" ht="15.75" customHeight="1">
      <c r="A934" s="11"/>
      <c r="B934" s="11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1:22" ht="15.75" customHeight="1">
      <c r="A935" s="11"/>
      <c r="B935" s="11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spans="1:22" ht="15.75" customHeight="1">
      <c r="A936" s="11"/>
      <c r="B936" s="11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spans="1:22" ht="15.75" customHeight="1">
      <c r="A937" s="11"/>
      <c r="B937" s="11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spans="1:22" ht="15.75" customHeight="1">
      <c r="A938" s="11"/>
      <c r="B938" s="11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spans="1:22" ht="15.75" customHeight="1">
      <c r="A939" s="11"/>
      <c r="B939" s="11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1:22" ht="15.75" customHeight="1">
      <c r="A940" s="11"/>
      <c r="B940" s="11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spans="1:22" ht="15.75" customHeight="1">
      <c r="A941" s="11"/>
      <c r="B941" s="11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spans="1:22" ht="15.75" customHeight="1">
      <c r="A942" s="11"/>
      <c r="B942" s="11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spans="1:22" ht="15.75" customHeight="1">
      <c r="A943" s="11"/>
      <c r="B943" s="11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spans="1:22" ht="15.75" customHeight="1">
      <c r="A944" s="11"/>
      <c r="B944" s="11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spans="1:22" ht="15.75" customHeight="1">
      <c r="A945" s="11"/>
      <c r="B945" s="11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spans="1:22" ht="15.75" customHeight="1">
      <c r="A946" s="11"/>
      <c r="B946" s="11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spans="1:22" ht="15.75" customHeight="1">
      <c r="A947" s="11"/>
      <c r="B947" s="11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spans="1:22" ht="15.75" customHeight="1">
      <c r="A948" s="11"/>
      <c r="B948" s="11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spans="1:22" ht="15.75" customHeight="1">
      <c r="A949" s="11"/>
      <c r="B949" s="11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spans="1:22" ht="15.75" customHeight="1">
      <c r="A950" s="11"/>
      <c r="B950" s="11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spans="1:22" ht="15.75" customHeight="1">
      <c r="A951" s="11"/>
      <c r="B951" s="11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spans="1:22" ht="15.75" customHeight="1">
      <c r="A952" s="11"/>
      <c r="B952" s="11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spans="1:22" ht="15.75" customHeight="1">
      <c r="A953" s="11"/>
      <c r="B953" s="11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spans="1:22" ht="15.75" customHeight="1">
      <c r="A954" s="11"/>
      <c r="B954" s="11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spans="1:22" ht="15.75" customHeight="1">
      <c r="A955" s="11"/>
      <c r="B955" s="11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1:22" ht="15.75" customHeight="1">
      <c r="A956" s="11"/>
      <c r="B956" s="11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spans="1:22" ht="15.75" customHeight="1">
      <c r="A957" s="11"/>
      <c r="B957" s="11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spans="1:22" ht="15.75" customHeight="1">
      <c r="A958" s="11"/>
      <c r="B958" s="11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spans="1:22" ht="15.75" customHeight="1">
      <c r="A959" s="11"/>
      <c r="B959" s="11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spans="1:22" ht="15.75" customHeight="1">
      <c r="A960" s="11"/>
      <c r="B960" s="11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spans="1:22" ht="15.75" customHeight="1">
      <c r="A961" s="11"/>
      <c r="B961" s="11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spans="1:22" ht="15.75" customHeight="1">
      <c r="A962" s="11"/>
      <c r="B962" s="11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spans="1:22" ht="15.75" customHeight="1">
      <c r="A963" s="11"/>
      <c r="B963" s="11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spans="1:22" ht="15.75" customHeight="1">
      <c r="A964" s="11"/>
      <c r="B964" s="11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spans="1:22" ht="15.75" customHeight="1">
      <c r="A965" s="11"/>
      <c r="B965" s="11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1:22" ht="15.75" customHeight="1">
      <c r="A966" s="11"/>
      <c r="B966" s="11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spans="1:22" ht="15.75" customHeight="1">
      <c r="A967" s="11"/>
      <c r="B967" s="11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spans="1:22" ht="15.75" customHeight="1">
      <c r="A968" s="11"/>
      <c r="B968" s="11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spans="1:22" ht="15.75" customHeight="1">
      <c r="A969" s="11"/>
      <c r="B969" s="11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spans="1:22" ht="15.75" customHeight="1">
      <c r="A970" s="11"/>
      <c r="B970" s="11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1:22" ht="15.75" customHeight="1">
      <c r="A971" s="11"/>
      <c r="B971" s="11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spans="1:22" ht="15.75" customHeight="1">
      <c r="A972" s="11"/>
      <c r="B972" s="11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spans="1:22" ht="15.75" customHeight="1">
      <c r="A973" s="11"/>
      <c r="B973" s="11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spans="1:22" ht="15.75" customHeight="1">
      <c r="A974" s="11"/>
      <c r="B974" s="11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spans="1:22" ht="15.75" customHeight="1">
      <c r="A975" s="11"/>
      <c r="B975" s="11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1:22" ht="15.75" customHeight="1">
      <c r="A976" s="11"/>
      <c r="B976" s="11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spans="1:22" ht="15.75" customHeight="1">
      <c r="A977" s="11"/>
      <c r="B977" s="11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spans="1:22" ht="14.4">
      <c r="A978" s="11"/>
      <c r="B978" s="11"/>
      <c r="F978" s="5"/>
      <c r="J978" s="12"/>
    </row>
  </sheetData>
  <hyperlinks>
    <hyperlink ref="L19" r:id="rId1" xr:uid="{00000000-0004-0000-0300-000000000000}"/>
    <hyperlink ref="L51" r:id="rId2" xr:uid="{00000000-0004-0000-0300-000001000000}"/>
    <hyperlink ref="L88" r:id="rId3" xr:uid="{00000000-0004-0000-0300-000002000000}"/>
    <hyperlink ref="L89" r:id="rId4" xr:uid="{00000000-0004-0000-0300-000003000000}"/>
    <hyperlink ref="L91" r:id="rId5" xr:uid="{00000000-0004-0000-0300-000004000000}"/>
    <hyperlink ref="L92" r:id="rId6" xr:uid="{00000000-0004-0000-0300-000005000000}"/>
    <hyperlink ref="L39" r:id="rId7" xr:uid="{9E0DE368-2C13-4516-9B00-8052D94BBC27}"/>
    <hyperlink ref="L80" r:id="rId8" xr:uid="{4CA8052E-14D7-4384-BEF5-A117160F600E}"/>
    <hyperlink ref="L57" r:id="rId9" xr:uid="{8615B8CD-02CE-4ED9-8B28-2BA27BAC2DE6}"/>
    <hyperlink ref="L60" r:id="rId10" xr:uid="{FD2F120F-BBB1-4458-9130-CCB24683299E}"/>
    <hyperlink ref="L62" r:id="rId11" xr:uid="{0B176707-A01F-4CA5-91C9-F6043D9076AE}"/>
    <hyperlink ref="L58" r:id="rId12" xr:uid="{B5659B22-0DD2-489E-B3B1-457D1E1D6D23}"/>
    <hyperlink ref="L59" r:id="rId13" xr:uid="{B7734A15-EFD4-4A05-BE3A-2A77C217CBB8}"/>
  </hyperlinks>
  <pageMargins left="0.7" right="0.7" top="0.75" bottom="0.75" header="0" footer="0"/>
  <pageSetup orientation="portrait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RESUMEN</vt:lpstr>
      <vt:lpstr>Coordinadores</vt:lpstr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C50</vt:lpstr>
      <vt:lpstr>C60</vt:lpstr>
      <vt:lpstr>C70</vt:lpstr>
      <vt:lpstr>C80</vt:lpstr>
      <vt:lpstr>C90</vt:lpstr>
      <vt:lpstr>COMUNA 2</vt:lpstr>
      <vt:lpstr>COMUNA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Santiago Macias Ruiz</cp:lastModifiedBy>
  <dcterms:created xsi:type="dcterms:W3CDTF">2024-07-15T19:33:50Z</dcterms:created>
  <dcterms:modified xsi:type="dcterms:W3CDTF">2026-05-19T14:59:31Z</dcterms:modified>
</cp:coreProperties>
</file>